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看板" sheetId="1" state="visible" r:id="rId1"/>
    <sheet name="每期汇总" sheetId="2" state="visible" r:id="rId2"/>
    <sheet name="参数配置" sheetId="3" state="visible" r:id="rId3"/>
    <sheet name="沪深300" sheetId="4" state="visible" r:id="rId4"/>
    <sheet name="中证500" sheetId="5" state="visible" r:id="rId5"/>
    <sheet name="恒生指数" sheetId="6" state="visible" r:id="rId6"/>
    <sheet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MAX(0,参数配置!$C$18-IFERROR(LOOKUP(2,1/(每期汇总!L5:L1000&lt;&gt;""),每期汇总!L5:L1000),0))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3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IFERROR(IF(L5&gt;=参数配置!$C$18,"增量阶段","存量阶段"),"")</f>
        <v/>
      </c>
    </row>
    <row r="6">
      <c r="A6" s="15" t="n">
        <v>2</v>
      </c>
      <c r="B6" s="33" t="inlineStr">
        <is>
          <t>2026-05-08</t>
        </is>
      </c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>
        <v>0</v>
      </c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IFERROR(IF(L6&gt;=参数配置!$C$18,"增量阶段","存量阶段"),"")</f>
        <v/>
      </c>
    </row>
    <row r="7">
      <c r="A7" s="15" t="n">
        <v>3</v>
      </c>
      <c r="B7" s="33" t="inlineStr">
        <is>
          <t>2026-05-22</t>
        </is>
      </c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>
        <v>0</v>
      </c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IFERROR(IF(L7&gt;=参数配置!$C$18,"增量阶段","存量阶段"),"")</f>
        <v/>
      </c>
    </row>
    <row r="8">
      <c r="A8" s="15" t="n">
        <v>4</v>
      </c>
      <c r="B8" s="33" t="inlineStr">
        <is>
          <t>2026-06-05</t>
        </is>
      </c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>
        <v>0</v>
      </c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IFERROR(IF(L8&gt;=参数配置!$C$18,"增量阶段","存量阶段"),"")</f>
        <v/>
      </c>
    </row>
    <row r="9">
      <c r="A9" s="15" t="n">
        <v>5</v>
      </c>
      <c r="B9" s="33" t="inlineStr">
        <is>
          <t>2026-06-18</t>
        </is>
      </c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>
        <v>0</v>
      </c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IFERROR(IF(L9&gt;=参数配置!$C$18,"增量阶段","存量阶段"),"")</f>
        <v/>
      </c>
    </row>
    <row r="10">
      <c r="A10" s="15" t="n">
        <v>6</v>
      </c>
      <c r="B10" s="33" t="inlineStr">
        <is>
          <t>2026-07-03</t>
        </is>
      </c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>
        <v>0</v>
      </c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IFERROR(IF(L10&gt;=参数配置!$C$18,"增量阶段","存量阶段"),"")</f>
        <v/>
      </c>
    </row>
    <row r="11">
      <c r="A11" s="15" t="n"/>
      <c r="B11" s="33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IFERROR(IF(L11&gt;=参数配置!$C$18,"增量阶段","存量阶段"),"")</f>
        <v/>
      </c>
    </row>
    <row r="12">
      <c r="A12" s="15" t="n"/>
      <c r="B12" s="33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IFERROR(IF(L12&gt;=参数配置!$C$18,"增量阶段","存量阶段"),"")</f>
        <v/>
      </c>
    </row>
    <row r="13">
      <c r="A13" s="15" t="n"/>
      <c r="B13" s="33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IFERROR(IF(L13&gt;=参数配置!$C$18,"增量阶段","存量阶段"),"")</f>
        <v/>
      </c>
    </row>
    <row r="14">
      <c r="A14" s="15" t="n"/>
      <c r="B14" s="33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IFERROR(IF(L14&gt;=参数配置!$C$18,"增量阶段","存量阶段"),"")</f>
        <v/>
      </c>
    </row>
    <row r="15">
      <c r="A15" s="15" t="n"/>
      <c r="B15" s="33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IFERROR(IF(L15&gt;=参数配置!$C$18,"增量阶段","存量阶段"),"")</f>
        <v/>
      </c>
    </row>
    <row r="16">
      <c r="A16" s="15" t="n"/>
      <c r="B16" s="33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IFERROR(IF(L16&gt;=参数配置!$C$18,"增量阶段","存量阶段"),"")</f>
        <v/>
      </c>
    </row>
    <row r="17">
      <c r="A17" s="15" t="n"/>
      <c r="B17" s="33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IFERROR(IF(L17&gt;=参数配置!$C$18,"增量阶段","存量阶段"),"")</f>
        <v/>
      </c>
    </row>
    <row r="18">
      <c r="A18" s="15" t="n"/>
      <c r="B18" s="33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IFERROR(IF(L18&gt;=参数配置!$C$18,"增量阶段","存量阶段"),"")</f>
        <v/>
      </c>
    </row>
    <row r="19">
      <c r="A19" s="15" t="n"/>
      <c r="B19" s="33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IFERROR(IF(L19&gt;=参数配置!$C$18,"增量阶段","存量阶段"),"")</f>
        <v/>
      </c>
    </row>
    <row r="20">
      <c r="A20" s="15" t="n"/>
      <c r="B20" s="33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IFERROR(IF(L20&gt;=参数配置!$C$18,"增量阶段","存量阶段"),"")</f>
        <v/>
      </c>
    </row>
    <row r="21">
      <c r="A21" s="15" t="n"/>
      <c r="B21" s="33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IFERROR(IF(L21&gt;=参数配置!$C$18,"增量阶段","存量阶段"),"")</f>
        <v/>
      </c>
    </row>
    <row r="22">
      <c r="A22" s="15" t="n"/>
      <c r="B22" s="33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IFERROR(IF(L22&gt;=参数配置!$C$18,"增量阶段","存量阶段"),"")</f>
        <v/>
      </c>
    </row>
    <row r="23">
      <c r="A23" s="15" t="n"/>
      <c r="B23" s="33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IFERROR(IF(L23&gt;=参数配置!$C$18,"增量阶段","存量阶段"),"")</f>
        <v/>
      </c>
    </row>
    <row r="24">
      <c r="A24" s="15" t="n"/>
      <c r="B24" s="33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IFERROR(IF(L24&gt;=参数配置!$C$18,"增量阶段","存量阶段"),"")</f>
        <v/>
      </c>
    </row>
    <row r="25">
      <c r="A25" s="15" t="n"/>
      <c r="B25" s="33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IFERROR(IF(L25&gt;=参数配置!$C$18,"增量阶段","存量阶段"),"")</f>
        <v/>
      </c>
    </row>
    <row r="26">
      <c r="A26" s="15" t="n"/>
      <c r="B26" s="33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IFERROR(IF(L26&gt;=参数配置!$C$18,"增量阶段","存量阶段"),"")</f>
        <v/>
      </c>
    </row>
    <row r="27">
      <c r="A27" s="15" t="n"/>
      <c r="B27" s="33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IFERROR(IF(L27&gt;=参数配置!$C$18,"增量阶段","存量阶段"),"")</f>
        <v/>
      </c>
    </row>
    <row r="28">
      <c r="A28" s="15" t="n"/>
      <c r="B28" s="33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IFERROR(IF(L28&gt;=参数配置!$C$18,"增量阶段","存量阶段"),"")</f>
        <v/>
      </c>
    </row>
    <row r="29">
      <c r="A29" s="15" t="n"/>
      <c r="B29" s="33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IFERROR(IF(L29&gt;=参数配置!$C$18,"增量阶段","存量阶段"),"")</f>
        <v/>
      </c>
    </row>
    <row r="30">
      <c r="A30" s="15" t="n"/>
      <c r="B30" s="33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IFERROR(IF(L30&gt;=参数配置!$C$18,"增量阶段","存量阶段"),"")</f>
        <v/>
      </c>
    </row>
    <row r="31">
      <c r="A31" s="15" t="n"/>
      <c r="B31" s="33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IFERROR(IF(L31&gt;=参数配置!$C$18,"增量阶段","存量阶段"),"")</f>
        <v/>
      </c>
    </row>
    <row r="32">
      <c r="A32" s="15" t="n"/>
      <c r="B32" s="33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IFERROR(IF(L32&gt;=参数配置!$C$18,"增量阶段","存量阶段"),"")</f>
        <v/>
      </c>
    </row>
    <row r="33">
      <c r="A33" s="15" t="n"/>
      <c r="B33" s="33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IFERROR(IF(L33&gt;=参数配置!$C$18,"增量阶段","存量阶段"),"")</f>
        <v/>
      </c>
    </row>
    <row r="34">
      <c r="A34" s="15" t="n"/>
      <c r="B34" s="33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IFERROR(IF(L34&gt;=参数配置!$C$18,"增量阶段","存量阶段"),"")</f>
        <v/>
      </c>
    </row>
    <row r="35">
      <c r="A35" s="15" t="n"/>
      <c r="B35" s="33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IFERROR(IF(L35&gt;=参数配置!$C$18,"增量阶段","存量阶段"),"")</f>
        <v/>
      </c>
    </row>
    <row r="36">
      <c r="A36" s="15" t="n"/>
      <c r="B36" s="33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IFERROR(IF(L36&gt;=参数配置!$C$18,"增量阶段","存量阶段"),"")</f>
        <v/>
      </c>
    </row>
    <row r="37">
      <c r="A37" s="15" t="n"/>
      <c r="B37" s="33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IFERROR(IF(L37&gt;=参数配置!$C$18,"增量阶段","存量阶段"),"")</f>
        <v/>
      </c>
    </row>
    <row r="38">
      <c r="A38" s="15" t="n"/>
      <c r="B38" s="33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IFERROR(IF(L38&gt;=参数配置!$C$18,"增量阶段","存量阶段"),"")</f>
        <v/>
      </c>
    </row>
    <row r="39">
      <c r="A39" s="15" t="n"/>
      <c r="B39" s="33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IFERROR(IF(L39&gt;=参数配置!$C$18,"增量阶段","存量阶段"),"")</f>
        <v/>
      </c>
    </row>
    <row r="40">
      <c r="A40" s="15" t="n"/>
      <c r="B40" s="33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IFERROR(IF(L40&gt;=参数配置!$C$18,"增量阶段","存量阶段"),"")</f>
        <v/>
      </c>
    </row>
    <row r="41">
      <c r="A41" s="15" t="n"/>
      <c r="B41" s="33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IFERROR(IF(L41&gt;=参数配置!$C$18,"增量阶段","存量阶段"),"")</f>
        <v/>
      </c>
    </row>
    <row r="42">
      <c r="A42" s="15" t="n"/>
      <c r="B42" s="33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IFERROR(IF(L42&gt;=参数配置!$C$18,"增量阶段","存量阶段"),"")</f>
        <v/>
      </c>
    </row>
    <row r="43">
      <c r="A43" s="15" t="n"/>
      <c r="B43" s="33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IFERROR(IF(L43&gt;=参数配置!$C$18,"增量阶段","存量阶段"),"")</f>
        <v/>
      </c>
    </row>
    <row r="44">
      <c r="A44" s="15" t="n"/>
      <c r="B44" s="33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IFERROR(IF(L44&gt;=参数配置!$C$18,"增量阶段","存量阶段"),"")</f>
        <v/>
      </c>
    </row>
    <row r="45">
      <c r="A45" s="15" t="n"/>
      <c r="B45" s="33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IFERROR(IF(L45&gt;=参数配置!$C$18,"增量阶段","存量阶段"),"")</f>
        <v/>
      </c>
    </row>
    <row r="46">
      <c r="A46" s="15" t="n"/>
      <c r="B46" s="33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IFERROR(IF(L46&gt;=参数配置!$C$18,"增量阶段","存量阶段"),"")</f>
        <v/>
      </c>
    </row>
    <row r="47">
      <c r="A47" s="15" t="n"/>
      <c r="B47" s="33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IFERROR(IF(L47&gt;=参数配置!$C$18,"增量阶段","存量阶段"),"")</f>
        <v/>
      </c>
    </row>
    <row r="48">
      <c r="A48" s="15" t="n"/>
      <c r="B48" s="33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IFERROR(IF(L48&gt;=参数配置!$C$18,"增量阶段","存量阶段"),"")</f>
        <v/>
      </c>
    </row>
    <row r="49">
      <c r="A49" s="15" t="n"/>
      <c r="B49" s="33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IFERROR(IF(L49&gt;=参数配置!$C$18,"增量阶段","存量阶段"),"")</f>
        <v/>
      </c>
    </row>
    <row r="50">
      <c r="A50" s="15" t="n"/>
      <c r="B50" s="33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IFERROR(IF(L50&gt;=参数配置!$C$18,"增量阶段","存量阶段"),"")</f>
        <v/>
      </c>
    </row>
    <row r="51">
      <c r="A51" s="15" t="n"/>
      <c r="B51" s="33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IFERROR(IF(L51&gt;=参数配置!$C$18,"增量阶段","存量阶段"),"")</f>
        <v/>
      </c>
    </row>
    <row r="52">
      <c r="A52" s="15" t="n"/>
      <c r="B52" s="33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IFERROR(IF(L52&gt;=参数配置!$C$18,"增量阶段","存量阶段"),"")</f>
        <v/>
      </c>
    </row>
    <row r="53">
      <c r="A53" s="15" t="n"/>
      <c r="B53" s="33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IFERROR(IF(L53&gt;=参数配置!$C$18,"增量阶段","存量阶段"),"")</f>
        <v/>
      </c>
    </row>
    <row r="54">
      <c r="A54" s="15" t="n"/>
      <c r="B54" s="33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IFERROR(IF(L54&gt;=参数配置!$C$18,"增量阶段","存量阶段"),"")</f>
        <v/>
      </c>
    </row>
    <row r="55">
      <c r="A55" s="15" t="n"/>
      <c r="B55" s="33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IFERROR(IF(L55&gt;=参数配置!$C$18,"增量阶段","存量阶段"),"")</f>
        <v/>
      </c>
    </row>
    <row r="56">
      <c r="A56" s="15" t="n"/>
      <c r="B56" s="33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IFERROR(IF(L56&gt;=参数配置!$C$18,"增量阶段","存量阶段"),"")</f>
        <v/>
      </c>
    </row>
    <row r="57">
      <c r="A57" s="15" t="n"/>
      <c r="B57" s="33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IFERROR(IF(L57&gt;=参数配置!$C$18,"增量阶段","存量阶段"),"")</f>
        <v/>
      </c>
    </row>
    <row r="58">
      <c r="A58" s="15" t="n"/>
      <c r="B58" s="33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IFERROR(IF(L58&gt;=参数配置!$C$18,"增量阶段","存量阶段"),"")</f>
        <v/>
      </c>
    </row>
    <row r="59">
      <c r="A59" s="15" t="n"/>
      <c r="B59" s="33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IFERROR(IF(L59&gt;=参数配置!$C$18,"增量阶段","存量阶段"),"")</f>
        <v/>
      </c>
    </row>
    <row r="60">
      <c r="A60" s="15" t="n"/>
      <c r="B60" s="33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IFERROR(IF(L60&gt;=参数配置!$C$18,"增量阶段","存量阶段"),"")</f>
        <v/>
      </c>
    </row>
    <row r="61">
      <c r="A61" s="15" t="n"/>
      <c r="B61" s="33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IFERROR(IF(L61&gt;=参数配置!$C$18,"增量阶段","存量阶段"),"")</f>
        <v/>
      </c>
    </row>
    <row r="62">
      <c r="A62" s="15" t="n"/>
      <c r="B62" s="33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IFERROR(IF(L62&gt;=参数配置!$C$18,"增量阶段","存量阶段"),"")</f>
        <v/>
      </c>
    </row>
    <row r="63">
      <c r="A63" s="15" t="n"/>
      <c r="B63" s="33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IFERROR(IF(L63&gt;=参数配置!$C$18,"增量阶段","存量阶段"),"")</f>
        <v/>
      </c>
    </row>
    <row r="64">
      <c r="A64" s="15" t="n"/>
      <c r="B64" s="33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IFERROR(IF(L64&gt;=参数配置!$C$18,"增量阶段","存量阶段"),"")</f>
        <v/>
      </c>
    </row>
    <row r="65">
      <c r="A65" s="15" t="n"/>
      <c r="B65" s="33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IFERROR(IF(L65&gt;=参数配置!$C$18,"增量阶段","存量阶段"),"")</f>
        <v/>
      </c>
    </row>
    <row r="66">
      <c r="A66" s="15" t="n"/>
      <c r="B66" s="33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IFERROR(IF(L66&gt;=参数配置!$C$18,"增量阶段","存量阶段"),"")</f>
        <v/>
      </c>
    </row>
    <row r="67">
      <c r="A67" s="15" t="n"/>
      <c r="B67" s="33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IFERROR(IF(L67&gt;=参数配置!$C$18,"增量阶段","存量阶段"),"")</f>
        <v/>
      </c>
    </row>
    <row r="68">
      <c r="A68" s="15" t="n"/>
      <c r="B68" s="33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IFERROR(IF(L68&gt;=参数配置!$C$18,"增量阶段","存量阶段"),"")</f>
        <v/>
      </c>
    </row>
    <row r="69">
      <c r="A69" s="15" t="n"/>
      <c r="B69" s="33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IFERROR(IF(L69&gt;=参数配置!$C$18,"增量阶段","存量阶段"),"")</f>
        <v/>
      </c>
    </row>
    <row r="70">
      <c r="A70" s="15" t="n"/>
      <c r="B70" s="33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IFERROR(IF(L70&gt;=参数配置!$C$18,"增量阶段","存量阶段"),"")</f>
        <v/>
      </c>
    </row>
    <row r="71">
      <c r="A71" s="15" t="n"/>
      <c r="B71" s="33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IFERROR(IF(L71&gt;=参数配置!$C$18,"增量阶段","存量阶段"),"")</f>
        <v/>
      </c>
    </row>
    <row r="72">
      <c r="A72" s="15" t="n"/>
      <c r="B72" s="33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IFERROR(IF(L72&gt;=参数配置!$C$18,"增量阶段","存量阶段"),"")</f>
        <v/>
      </c>
    </row>
    <row r="73">
      <c r="A73" s="15" t="n"/>
      <c r="B73" s="33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IFERROR(IF(L73&gt;=参数配置!$C$18,"增量阶段","存量阶段"),"")</f>
        <v/>
      </c>
    </row>
    <row r="74">
      <c r="A74" s="15" t="n"/>
      <c r="B74" s="33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IFERROR(IF(L74&gt;=参数配置!$C$18,"增量阶段","存量阶段"),"")</f>
        <v/>
      </c>
    </row>
    <row r="75">
      <c r="A75" s="15" t="n"/>
      <c r="B75" s="33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IFERROR(IF(L75&gt;=参数配置!$C$18,"增量阶段","存量阶段"),"")</f>
        <v/>
      </c>
    </row>
    <row r="76">
      <c r="A76" s="15" t="n"/>
      <c r="B76" s="33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IFERROR(IF(L76&gt;=参数配置!$C$18,"增量阶段","存量阶段"),"")</f>
        <v/>
      </c>
    </row>
    <row r="77">
      <c r="A77" s="15" t="n"/>
      <c r="B77" s="33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IFERROR(IF(L77&gt;=参数配置!$C$18,"增量阶段","存量阶段"),"")</f>
        <v/>
      </c>
    </row>
    <row r="78">
      <c r="A78" s="15" t="n"/>
      <c r="B78" s="33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IFERROR(IF(L78&gt;=参数配置!$C$18,"增量阶段","存量阶段"),"")</f>
        <v/>
      </c>
    </row>
    <row r="79">
      <c r="A79" s="15" t="n"/>
      <c r="B79" s="33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IFERROR(IF(L79&gt;=参数配置!$C$18,"增量阶段","存量阶段"),"")</f>
        <v/>
      </c>
    </row>
    <row r="80">
      <c r="A80" s="15" t="n"/>
      <c r="B80" s="33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IFERROR(IF(L80&gt;=参数配置!$C$18,"增量阶段","存量阶段"),"")</f>
        <v/>
      </c>
    </row>
    <row r="81">
      <c r="A81" s="15" t="n"/>
      <c r="B81" s="33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IFERROR(IF(L81&gt;=参数配置!$C$18,"增量阶段","存量阶段"),"")</f>
        <v/>
      </c>
    </row>
    <row r="82">
      <c r="A82" s="15" t="n"/>
      <c r="B82" s="33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IFERROR(IF(L82&gt;=参数配置!$C$18,"增量阶段","存量阶段"),"")</f>
        <v/>
      </c>
    </row>
    <row r="83">
      <c r="A83" s="15" t="n"/>
      <c r="B83" s="33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IFERROR(IF(L83&gt;=参数配置!$C$18,"增量阶段","存量阶段"),"")</f>
        <v/>
      </c>
    </row>
    <row r="84">
      <c r="A84" s="15" t="n"/>
      <c r="B84" s="33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IFERROR(IF(L84&gt;=参数配置!$C$18,"增量阶段","存量阶段"),"")</f>
        <v/>
      </c>
    </row>
    <row r="85">
      <c r="A85" s="15" t="n"/>
      <c r="B85" s="33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IFERROR(IF(L85&gt;=参数配置!$C$18,"增量阶段","存量阶段"),"")</f>
        <v/>
      </c>
    </row>
    <row r="86">
      <c r="A86" s="15" t="n"/>
      <c r="B86" s="33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IFERROR(IF(L86&gt;=参数配置!$C$18,"增量阶段","存量阶段"),"")</f>
        <v/>
      </c>
    </row>
    <row r="87">
      <c r="A87" s="15" t="n"/>
      <c r="B87" s="33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IFERROR(IF(L87&gt;=参数配置!$C$18,"增量阶段","存量阶段"),"")</f>
        <v/>
      </c>
    </row>
    <row r="88">
      <c r="A88" s="15" t="n"/>
      <c r="B88" s="33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IFERROR(IF(L88&gt;=参数配置!$C$18,"增量阶段","存量阶段"),"")</f>
        <v/>
      </c>
    </row>
    <row r="89">
      <c r="A89" s="15" t="n"/>
      <c r="B89" s="33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IFERROR(IF(L89&gt;=参数配置!$C$18,"增量阶段","存量阶段"),"")</f>
        <v/>
      </c>
    </row>
    <row r="90">
      <c r="A90" s="15" t="n"/>
      <c r="B90" s="33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IFERROR(IF(L90&gt;=参数配置!$C$18,"增量阶段","存量阶段"),"")</f>
        <v/>
      </c>
    </row>
    <row r="91">
      <c r="A91" s="15" t="n"/>
      <c r="B91" s="33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IFERROR(IF(L91&gt;=参数配置!$C$18,"增量阶段","存量阶段"),"")</f>
        <v/>
      </c>
    </row>
    <row r="92">
      <c r="A92" s="15" t="n"/>
      <c r="B92" s="33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IFERROR(IF(L92&gt;=参数配置!$C$18,"增量阶段","存量阶段"),"")</f>
        <v/>
      </c>
    </row>
    <row r="93">
      <c r="A93" s="15" t="n"/>
      <c r="B93" s="33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IFERROR(IF(L93&gt;=参数配置!$C$18,"增量阶段","存量阶段"),"")</f>
        <v/>
      </c>
    </row>
    <row r="94">
      <c r="A94" s="15" t="n"/>
      <c r="B94" s="33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IFERROR(IF(L94&gt;=参数配置!$C$18,"增量阶段","存量阶段"),"")</f>
        <v/>
      </c>
    </row>
    <row r="95">
      <c r="A95" s="15" t="n"/>
      <c r="B95" s="33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IFERROR(IF(L95&gt;=参数配置!$C$18,"增量阶段","存量阶段"),"")</f>
        <v/>
      </c>
    </row>
    <row r="96">
      <c r="A96" s="15" t="n"/>
      <c r="B96" s="33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IFERROR(IF(L96&gt;=参数配置!$C$18,"增量阶段","存量阶段"),"")</f>
        <v/>
      </c>
    </row>
    <row r="97">
      <c r="A97" s="15" t="n"/>
      <c r="B97" s="33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IFERROR(IF(L97&gt;=参数配置!$C$18,"增量阶段","存量阶段"),"")</f>
        <v/>
      </c>
    </row>
    <row r="98">
      <c r="A98" s="15" t="n"/>
      <c r="B98" s="33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IFERROR(IF(L98&gt;=参数配置!$C$18,"增量阶段","存量阶段"),"")</f>
        <v/>
      </c>
    </row>
    <row r="99">
      <c r="A99" s="15" t="n"/>
      <c r="B99" s="33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IFERROR(IF(L99&gt;=参数配置!$C$18,"增量阶段","存量阶段"),"")</f>
        <v/>
      </c>
    </row>
    <row r="100">
      <c r="A100" s="15" t="n"/>
      <c r="B100" s="33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IFERROR(IF(L100&gt;=参数配置!$C$18,"增量阶段","存量阶段"),"")</f>
        <v/>
      </c>
    </row>
    <row r="101">
      <c r="A101" s="15" t="n"/>
      <c r="B101" s="33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IFERROR(IF(L101&gt;=参数配置!$C$18,"增量阶段","存量阶段"),"")</f>
        <v/>
      </c>
    </row>
    <row r="102">
      <c r="A102" s="15" t="n"/>
      <c r="B102" s="33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IFERROR(IF(L102&gt;=参数配置!$C$18,"增量阶段","存量阶段"),"")</f>
        <v/>
      </c>
    </row>
    <row r="103">
      <c r="A103" s="15" t="n"/>
      <c r="B103" s="33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IFERROR(IF(L103&gt;=参数配置!$C$18,"增量阶段","存量阶段"),"")</f>
        <v/>
      </c>
    </row>
    <row r="104">
      <c r="A104" s="15" t="n"/>
      <c r="B104" s="33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IFERROR(IF(L104&gt;=参数配置!$C$18,"增量阶段","存量阶段"),"")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4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4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4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4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5">
        <f>SUM(D5:D8)</f>
        <v/>
      </c>
    </row>
    <row r="11">
      <c r="A11" s="4" t="inlineStr">
        <is>
          <t>清仓参数</t>
        </is>
      </c>
      <c r="B11" s="4" t="inlineStr">
        <is>
          <t>标的</t>
        </is>
      </c>
      <c r="C11" s="4" t="inlineStr">
        <is>
          <t>阈值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>
        <is>
          <t>沪深300 ETF</t>
        </is>
      </c>
      <c r="C12" s="36" t="n">
        <v>0.5</v>
      </c>
      <c r="D12" s="21" t="inlineStr">
        <is>
          <t>偏离度超 +50%，全部清仓并进入冷却期</t>
        </is>
      </c>
    </row>
    <row r="13">
      <c r="A13" s="6" t="inlineStr"/>
      <c r="B13" s="6" t="inlineStr">
        <is>
          <t>中证500 ETF</t>
        </is>
      </c>
      <c r="C13" s="36" t="n">
        <v>0.5</v>
      </c>
      <c r="D13" s="21" t="inlineStr"/>
    </row>
    <row r="14">
      <c r="A14" s="6" t="inlineStr"/>
      <c r="B14" s="6" t="inlineStr">
        <is>
          <t>恒生指数 ETF</t>
        </is>
      </c>
      <c r="C14" s="36" t="n">
        <v>0.35</v>
      </c>
      <c r="D14" s="21" t="inlineStr"/>
    </row>
    <row r="15">
      <c r="A15" s="6" t="inlineStr"/>
      <c r="B15" s="6" t="inlineStr">
        <is>
          <t>纳指100 ETF</t>
        </is>
      </c>
      <c r="C15" s="36" t="n">
        <v>0.3</v>
      </c>
      <c r="D15" s="21" t="inlineStr"/>
    </row>
    <row r="17">
      <c r="A17" s="3" t="inlineStr">
        <is>
          <t>三、增量阶段</t>
        </is>
      </c>
    </row>
    <row r="18">
      <c r="A18" s="5" t="inlineStr">
        <is>
          <t>触发门槛（累计净投入）</t>
        </is>
      </c>
      <c r="B18" s="6" t="inlineStr"/>
      <c r="C18" s="17" t="n">
        <v>150000</v>
      </c>
      <c r="D18" s="21" t="inlineStr">
        <is>
          <t>达到后切换为增量阶段，买卖均走储备金池</t>
        </is>
      </c>
      <c r="E18" s="37" t="n"/>
    </row>
    <row r="19">
      <c r="A19" s="5" t="inlineStr">
        <is>
          <t>每期增量注入金额</t>
        </is>
      </c>
      <c r="B19" s="6" t="inlineStr"/>
      <c r="C19" s="17" t="n">
        <v>2000</v>
      </c>
      <c r="D19" s="21" t="inlineStr">
        <is>
          <t>每期向储备金池注入的新增资金</t>
        </is>
      </c>
      <c r="E19" s="37" t="n"/>
    </row>
  </sheetData>
  <mergeCells count="4">
    <mergeCell ref="A2:F2"/>
    <mergeCell ref="D19:E19"/>
    <mergeCell ref="A1:F1"/>
    <mergeCell ref="D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IFERROR(参数配置!$C$5*(B5-$S$3),"")</f>
        <v/>
      </c>
      <c r="D5" s="27" t="n">
        <v>4.774</v>
      </c>
      <c r="E5" s="27" t="n">
        <v>4.3435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1432.2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IFERROR(参数配置!$C$5*(B6-$S$3),"")</f>
        <v/>
      </c>
      <c r="D6" s="27" t="n">
        <v>4.893</v>
      </c>
      <c r="E6" s="27" t="n">
        <v>4.3754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>
        <v>1467.9</v>
      </c>
      <c r="M6" s="27" t="n">
        <v>300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IFERROR(参数配置!$C$5*(B7-$S$3),"")</f>
        <v/>
      </c>
      <c r="D7" s="27" t="n">
        <v>4.828</v>
      </c>
      <c r="E7" s="27" t="n">
        <v>4.4239</v>
      </c>
      <c r="F7" s="28">
        <f>IFERROR((D7-E7)/E7,"")</f>
        <v/>
      </c>
      <c r="G7" s="27" t="n">
        <v>600</v>
      </c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>
        <v>1448.4</v>
      </c>
      <c r="M7" s="27" t="n">
        <v>300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IFERROR(参数配置!$C$5*(B8-$S$3),"")</f>
        <v/>
      </c>
      <c r="D8" s="27" t="n">
        <v>4.91</v>
      </c>
      <c r="E8" s="27" t="n">
        <v>4.46819947052002</v>
      </c>
      <c r="F8" s="28">
        <f>IFERROR((D8-E8)/E8,"")</f>
        <v/>
      </c>
      <c r="G8" s="27" t="n">
        <v>900</v>
      </c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>
        <v>1473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IFERROR(参数配置!$C$5*(B9-$S$3),"")</f>
        <v/>
      </c>
      <c r="D9" s="27" t="n">
        <v>4.975</v>
      </c>
      <c r="E9" s="27" t="n">
        <v>4.46819947052002</v>
      </c>
      <c r="F9" s="28">
        <f>IFERROR((D9-E9)/E9,"")</f>
        <v/>
      </c>
      <c r="G9" s="27" t="n">
        <v>1200</v>
      </c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>
        <v>1492.5</v>
      </c>
      <c r="M9" s="27" t="n">
        <v>300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IFERROR(参数配置!$C$5*(B10-$S$3),"")</f>
        <v/>
      </c>
      <c r="D10" s="27" t="n">
        <v>4.852</v>
      </c>
      <c r="E10" s="27" t="n">
        <v>4.46819947052002</v>
      </c>
      <c r="F10" s="28">
        <f>IFERROR((D10-E10)/E10,"")</f>
        <v/>
      </c>
      <c r="G10" s="27" t="n">
        <v>1500</v>
      </c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>
        <v>1940.8</v>
      </c>
      <c r="M10" s="27" t="n">
        <v>400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IFERROR(参数配置!$C$6*(B5-$S$3),"")</f>
        <v/>
      </c>
      <c r="D5" s="27" t="n">
        <v>8.302</v>
      </c>
      <c r="E5" s="27" t="n">
        <v>7.0208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IFERROR(IF(F5&gt;=参数配置!$C$13,-H5,C5-H5),"")</f>
        <v/>
      </c>
      <c r="J5" s="29">
        <f>IFERROR(IF(F5&gt;=参数配置!$C$13,"全仓清仓",IF(H5&gt;C5,"卖出超额","正常定投")),"")</f>
        <v/>
      </c>
      <c r="K5" s="30">
        <f>IFERROR(I5,"")</f>
        <v/>
      </c>
      <c r="L5" s="17" t="n">
        <v>830.2</v>
      </c>
      <c r="M5" s="27" t="n">
        <v>100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IFERROR(参数配置!$C$6*(B6-$S$3),"")</f>
        <v/>
      </c>
      <c r="D6" s="27" t="n">
        <v>8.768000000000001</v>
      </c>
      <c r="E6" s="27" t="n">
        <v>7.1015</v>
      </c>
      <c r="F6" s="28">
        <f>IFERROR((D6-E6)/E6,"")</f>
        <v/>
      </c>
      <c r="G6" s="27" t="n">
        <v>100</v>
      </c>
      <c r="H6" s="7">
        <f>IFERROR(G6*D6,"")</f>
        <v/>
      </c>
      <c r="I6" s="7">
        <f>IFERROR(IF(F6&gt;=参数配置!$C$13,-H6,C6-H6),"")</f>
        <v/>
      </c>
      <c r="J6" s="29">
        <f>IFERROR(IF(F6&gt;=参数配置!$C$13,"全仓清仓",IF(H6&gt;C6,"卖出超额","正常定投")),"")</f>
        <v/>
      </c>
      <c r="K6" s="30">
        <f>IFERROR(I6,"")</f>
        <v/>
      </c>
      <c r="L6" s="17" t="n">
        <v>1753.6</v>
      </c>
      <c r="M6" s="27" t="n">
        <v>200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IFERROR(参数配置!$C$6*(B7-$S$3),"")</f>
        <v/>
      </c>
      <c r="D7" s="27" t="n">
        <v>8.576000000000001</v>
      </c>
      <c r="E7" s="27" t="n">
        <v>7.2287</v>
      </c>
      <c r="F7" s="28">
        <f>IFERROR((D7-E7)/E7,"")</f>
        <v/>
      </c>
      <c r="G7" s="27" t="n">
        <v>300</v>
      </c>
      <c r="H7" s="7">
        <f>IFERROR(G7*D7,"")</f>
        <v/>
      </c>
      <c r="I7" s="7">
        <f>IFERROR(IF(F7&gt;=参数配置!$C$13,-H7,C7-H7),"")</f>
        <v/>
      </c>
      <c r="J7" s="29">
        <f>IFERROR(IF(F7&gt;=参数配置!$C$13,"全仓清仓",IF(H7&gt;C7,"卖出超额","正常定投")),"")</f>
        <v/>
      </c>
      <c r="K7" s="30">
        <f>IFERROR(I7,"")</f>
        <v/>
      </c>
      <c r="L7" s="17" t="n">
        <v>1715.2</v>
      </c>
      <c r="M7" s="27" t="n">
        <v>200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IFERROR(参数配置!$C$6*(B8-$S$3),"")</f>
        <v/>
      </c>
      <c r="D8" s="27" t="n">
        <v>8.333</v>
      </c>
      <c r="E8" s="27" t="n">
        <v>7.342891065597534</v>
      </c>
      <c r="F8" s="28">
        <f>IFERROR((D8-E8)/E8,"")</f>
        <v/>
      </c>
      <c r="G8" s="27" t="n">
        <v>500</v>
      </c>
      <c r="H8" s="7">
        <f>IFERROR(G8*D8,"")</f>
        <v/>
      </c>
      <c r="I8" s="7">
        <f>IFERROR(IF(F8&gt;=参数配置!$C$13,-H8,C8-H8),"")</f>
        <v/>
      </c>
      <c r="J8" s="29">
        <f>IFERROR(IF(F8&gt;=参数配置!$C$13,"全仓清仓",IF(H8&gt;C8,"卖出超额","正常定投")),"")</f>
        <v/>
      </c>
      <c r="K8" s="30">
        <f>IFERROR(I8,"")</f>
        <v/>
      </c>
      <c r="L8" s="17" t="n">
        <v>2499.9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IFERROR(参数配置!$C$6*(B9-$S$3),"")</f>
        <v/>
      </c>
      <c r="D9" s="27" t="n">
        <v>8.797000000000001</v>
      </c>
      <c r="E9" s="27" t="n">
        <v>7.342891065597534</v>
      </c>
      <c r="F9" s="28">
        <f>IFERROR((D9-E9)/E9,"")</f>
        <v/>
      </c>
      <c r="G9" s="27" t="n">
        <v>800</v>
      </c>
      <c r="H9" s="7">
        <f>IFERROR(G9*D9,"")</f>
        <v/>
      </c>
      <c r="I9" s="7">
        <f>IFERROR(IF(F9&gt;=参数配置!$C$13,-H9,C9-H9),"")</f>
        <v/>
      </c>
      <c r="J9" s="29">
        <f>IFERROR(IF(F9&gt;=参数配置!$C$13,"全仓清仓",IF(H9&gt;C9,"卖出超额","正常定投")),"")</f>
        <v/>
      </c>
      <c r="K9" s="30">
        <f>IFERROR(I9,"")</f>
        <v/>
      </c>
      <c r="L9" s="17" t="n">
        <v>879.7</v>
      </c>
      <c r="M9" s="27" t="n">
        <v>100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IFERROR(参数配置!$C$6*(B10-$S$3),"")</f>
        <v/>
      </c>
      <c r="D10" s="27" t="n">
        <v>8.843999999999999</v>
      </c>
      <c r="E10" s="27" t="n">
        <v>7.342891065597534</v>
      </c>
      <c r="F10" s="28">
        <f>IFERROR((D10-E10)/E10,"")</f>
        <v/>
      </c>
      <c r="G10" s="27" t="n">
        <v>900</v>
      </c>
      <c r="H10" s="7">
        <f>IFERROR(G10*D10,"")</f>
        <v/>
      </c>
      <c r="I10" s="7">
        <f>IFERROR(IF(F10&gt;=参数配置!$C$13,-H10,C10-H10),"")</f>
        <v/>
      </c>
      <c r="J10" s="29">
        <f>IFERROR(IF(F10&gt;=参数配置!$C$13,"全仓清仓",IF(H10&gt;C10,"卖出超额","正常定投")),"")</f>
        <v/>
      </c>
      <c r="K10" s="30">
        <f>IFERROR(I10,"")</f>
        <v/>
      </c>
      <c r="L10" s="17" t="n">
        <v>884.4</v>
      </c>
      <c r="M10" s="27" t="n">
        <v>100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IFERROR(IF(F11&gt;=参数配置!$C$13,-H11,C11-H11),"")</f>
        <v/>
      </c>
      <c r="J11" s="29">
        <f>IFERROR(IF(F11&gt;=参数配置!$C$13,"全仓清仓",IF(H11&gt;C11,"卖出超额","正常定投")),"")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IFERROR(IF(F12&gt;=参数配置!$C$13,-H12,C12-H12),"")</f>
        <v/>
      </c>
      <c r="J12" s="29">
        <f>IFERROR(IF(F12&gt;=参数配置!$C$13,"全仓清仓",IF(H12&gt;C12,"卖出超额","正常定投")),"")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IFERROR(IF(F13&gt;=参数配置!$C$13,-H13,C13-H13),"")</f>
        <v/>
      </c>
      <c r="J13" s="29">
        <f>IFERROR(IF(F13&gt;=参数配置!$C$13,"全仓清仓",IF(H13&gt;C13,"卖出超额","正常定投")),"")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IFERROR(IF(F14&gt;=参数配置!$C$13,-H14,C14-H14),"")</f>
        <v/>
      </c>
      <c r="J14" s="29">
        <f>IFERROR(IF(F14&gt;=参数配置!$C$13,"全仓清仓",IF(H14&gt;C14,"卖出超额","正常定投")),"")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IFERROR(IF(F15&gt;=参数配置!$C$13,-H15,C15-H15),"")</f>
        <v/>
      </c>
      <c r="J15" s="29">
        <f>IFERROR(IF(F15&gt;=参数配置!$C$13,"全仓清仓",IF(H15&gt;C15,"卖出超额","正常定投")),"")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IFERROR(IF(F16&gt;=参数配置!$C$13,-H16,C16-H16),"")</f>
        <v/>
      </c>
      <c r="J16" s="29">
        <f>IFERROR(IF(F16&gt;=参数配置!$C$13,"全仓清仓",IF(H16&gt;C16,"卖出超额","正常定投")),"")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IFERROR(IF(F17&gt;=参数配置!$C$13,-H17,C17-H17),"")</f>
        <v/>
      </c>
      <c r="J17" s="29">
        <f>IFERROR(IF(F17&gt;=参数配置!$C$13,"全仓清仓",IF(H17&gt;C17,"卖出超额","正常定投")),"")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IFERROR(IF(F18&gt;=参数配置!$C$13,-H18,C18-H18),"")</f>
        <v/>
      </c>
      <c r="J18" s="29">
        <f>IFERROR(IF(F18&gt;=参数配置!$C$13,"全仓清仓",IF(H18&gt;C18,"卖出超额","正常定投")),"")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IFERROR(IF(F19&gt;=参数配置!$C$13,-H19,C19-H19),"")</f>
        <v/>
      </c>
      <c r="J19" s="29">
        <f>IFERROR(IF(F19&gt;=参数配置!$C$13,"全仓清仓",IF(H19&gt;C19,"卖出超额","正常定投")),"")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IFERROR(IF(F20&gt;=参数配置!$C$13,-H20,C20-H20),"")</f>
        <v/>
      </c>
      <c r="J20" s="29">
        <f>IFERROR(IF(F20&gt;=参数配置!$C$13,"全仓清仓",IF(H20&gt;C20,"卖出超额","正常定投")),"")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IFERROR(IF(F21&gt;=参数配置!$C$13,-H21,C21-H21),"")</f>
        <v/>
      </c>
      <c r="J21" s="29">
        <f>IFERROR(IF(F21&gt;=参数配置!$C$13,"全仓清仓",IF(H21&gt;C21,"卖出超额","正常定投")),"")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IFERROR(IF(F22&gt;=参数配置!$C$13,-H22,C22-H22),"")</f>
        <v/>
      </c>
      <c r="J22" s="29">
        <f>IFERROR(IF(F22&gt;=参数配置!$C$13,"全仓清仓",IF(H22&gt;C22,"卖出超额","正常定投")),"")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IFERROR(IF(F23&gt;=参数配置!$C$13,-H23,C23-H23),"")</f>
        <v/>
      </c>
      <c r="J23" s="29">
        <f>IFERROR(IF(F23&gt;=参数配置!$C$13,"全仓清仓",IF(H23&gt;C23,"卖出超额","正常定投")),"")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IFERROR(IF(F24&gt;=参数配置!$C$13,-H24,C24-H24),"")</f>
        <v/>
      </c>
      <c r="J24" s="29">
        <f>IFERROR(IF(F24&gt;=参数配置!$C$13,"全仓清仓",IF(H24&gt;C24,"卖出超额","正常定投")),"")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IFERROR(IF(F25&gt;=参数配置!$C$13,-H25,C25-H25),"")</f>
        <v/>
      </c>
      <c r="J25" s="29">
        <f>IFERROR(IF(F25&gt;=参数配置!$C$13,"全仓清仓",IF(H25&gt;C25,"卖出超额","正常定投")),"")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IFERROR(IF(F26&gt;=参数配置!$C$13,-H26,C26-H26),"")</f>
        <v/>
      </c>
      <c r="J26" s="29">
        <f>IFERROR(IF(F26&gt;=参数配置!$C$13,"全仓清仓",IF(H26&gt;C26,"卖出超额","正常定投")),"")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IFERROR(IF(F27&gt;=参数配置!$C$13,-H27,C27-H27),"")</f>
        <v/>
      </c>
      <c r="J27" s="29">
        <f>IFERROR(IF(F27&gt;=参数配置!$C$13,"全仓清仓",IF(H27&gt;C27,"卖出超额","正常定投")),"")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IFERROR(IF(F28&gt;=参数配置!$C$13,-H28,C28-H28),"")</f>
        <v/>
      </c>
      <c r="J28" s="29">
        <f>IFERROR(IF(F28&gt;=参数配置!$C$13,"全仓清仓",IF(H28&gt;C28,"卖出超额","正常定投")),"")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IFERROR(IF(F29&gt;=参数配置!$C$13,-H29,C29-H29),"")</f>
        <v/>
      </c>
      <c r="J29" s="29">
        <f>IFERROR(IF(F29&gt;=参数配置!$C$13,"全仓清仓",IF(H29&gt;C29,"卖出超额","正常定投")),"")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IFERROR(IF(F30&gt;=参数配置!$C$13,-H30,C30-H30),"")</f>
        <v/>
      </c>
      <c r="J30" s="29">
        <f>IFERROR(IF(F30&gt;=参数配置!$C$13,"全仓清仓",IF(H30&gt;C30,"卖出超额","正常定投")),"")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IFERROR(IF(F31&gt;=参数配置!$C$13,-H31,C31-H31),"")</f>
        <v/>
      </c>
      <c r="J31" s="29">
        <f>IFERROR(IF(F31&gt;=参数配置!$C$13,"全仓清仓",IF(H31&gt;C31,"卖出超额","正常定投")),"")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IFERROR(IF(F32&gt;=参数配置!$C$13,-H32,C32-H32),"")</f>
        <v/>
      </c>
      <c r="J32" s="29">
        <f>IFERROR(IF(F32&gt;=参数配置!$C$13,"全仓清仓",IF(H32&gt;C32,"卖出超额","正常定投")),"")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IFERROR(IF(F33&gt;=参数配置!$C$13,-H33,C33-H33),"")</f>
        <v/>
      </c>
      <c r="J33" s="29">
        <f>IFERROR(IF(F33&gt;=参数配置!$C$13,"全仓清仓",IF(H33&gt;C33,"卖出超额","正常定投")),"")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IFERROR(IF(F34&gt;=参数配置!$C$13,-H34,C34-H34),"")</f>
        <v/>
      </c>
      <c r="J34" s="29">
        <f>IFERROR(IF(F34&gt;=参数配置!$C$13,"全仓清仓",IF(H34&gt;C34,"卖出超额","正常定投")),"")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IFERROR(IF(F35&gt;=参数配置!$C$13,-H35,C35-H35),"")</f>
        <v/>
      </c>
      <c r="J35" s="29">
        <f>IFERROR(IF(F35&gt;=参数配置!$C$13,"全仓清仓",IF(H35&gt;C35,"卖出超额","正常定投")),"")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IFERROR(IF(F36&gt;=参数配置!$C$13,-H36,C36-H36),"")</f>
        <v/>
      </c>
      <c r="J36" s="29">
        <f>IFERROR(IF(F36&gt;=参数配置!$C$13,"全仓清仓",IF(H36&gt;C36,"卖出超额","正常定投")),"")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IFERROR(IF(F37&gt;=参数配置!$C$13,-H37,C37-H37),"")</f>
        <v/>
      </c>
      <c r="J37" s="29">
        <f>IFERROR(IF(F37&gt;=参数配置!$C$13,"全仓清仓",IF(H37&gt;C37,"卖出超额","正常定投")),"")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IFERROR(IF(F38&gt;=参数配置!$C$13,-H38,C38-H38),"")</f>
        <v/>
      </c>
      <c r="J38" s="29">
        <f>IFERROR(IF(F38&gt;=参数配置!$C$13,"全仓清仓",IF(H38&gt;C38,"卖出超额","正常定投")),"")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IFERROR(IF(F39&gt;=参数配置!$C$13,-H39,C39-H39),"")</f>
        <v/>
      </c>
      <c r="J39" s="29">
        <f>IFERROR(IF(F39&gt;=参数配置!$C$13,"全仓清仓",IF(H39&gt;C39,"卖出超额","正常定投")),"")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IFERROR(IF(F40&gt;=参数配置!$C$13,-H40,C40-H40),"")</f>
        <v/>
      </c>
      <c r="J40" s="29">
        <f>IFERROR(IF(F40&gt;=参数配置!$C$13,"全仓清仓",IF(H40&gt;C40,"卖出超额","正常定投")),"")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IFERROR(IF(F41&gt;=参数配置!$C$13,-H41,C41-H41),"")</f>
        <v/>
      </c>
      <c r="J41" s="29">
        <f>IFERROR(IF(F41&gt;=参数配置!$C$13,"全仓清仓",IF(H41&gt;C41,"卖出超额","正常定投")),"")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IFERROR(IF(F42&gt;=参数配置!$C$13,-H42,C42-H42),"")</f>
        <v/>
      </c>
      <c r="J42" s="29">
        <f>IFERROR(IF(F42&gt;=参数配置!$C$13,"全仓清仓",IF(H42&gt;C42,"卖出超额","正常定投")),"")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IFERROR(IF(F43&gt;=参数配置!$C$13,-H43,C43-H43),"")</f>
        <v/>
      </c>
      <c r="J43" s="29">
        <f>IFERROR(IF(F43&gt;=参数配置!$C$13,"全仓清仓",IF(H43&gt;C43,"卖出超额","正常定投")),"")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IFERROR(IF(F44&gt;=参数配置!$C$13,-H44,C44-H44),"")</f>
        <v/>
      </c>
      <c r="J44" s="29">
        <f>IFERROR(IF(F44&gt;=参数配置!$C$13,"全仓清仓",IF(H44&gt;C44,"卖出超额","正常定投")),"")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IFERROR(IF(F45&gt;=参数配置!$C$13,-H45,C45-H45),"")</f>
        <v/>
      </c>
      <c r="J45" s="29">
        <f>IFERROR(IF(F45&gt;=参数配置!$C$13,"全仓清仓",IF(H45&gt;C45,"卖出超额","正常定投")),"")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IFERROR(IF(F46&gt;=参数配置!$C$13,-H46,C46-H46),"")</f>
        <v/>
      </c>
      <c r="J46" s="29">
        <f>IFERROR(IF(F46&gt;=参数配置!$C$13,"全仓清仓",IF(H46&gt;C46,"卖出超额","正常定投")),"")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IFERROR(IF(F47&gt;=参数配置!$C$13,-H47,C47-H47),"")</f>
        <v/>
      </c>
      <c r="J47" s="29">
        <f>IFERROR(IF(F47&gt;=参数配置!$C$13,"全仓清仓",IF(H47&gt;C47,"卖出超额","正常定投")),"")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IFERROR(IF(F48&gt;=参数配置!$C$13,-H48,C48-H48),"")</f>
        <v/>
      </c>
      <c r="J48" s="29">
        <f>IFERROR(IF(F48&gt;=参数配置!$C$13,"全仓清仓",IF(H48&gt;C48,"卖出超额","正常定投")),"")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IFERROR(IF(F49&gt;=参数配置!$C$13,-H49,C49-H49),"")</f>
        <v/>
      </c>
      <c r="J49" s="29">
        <f>IFERROR(IF(F49&gt;=参数配置!$C$13,"全仓清仓",IF(H49&gt;C49,"卖出超额","正常定投")),"")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IFERROR(IF(F50&gt;=参数配置!$C$13,-H50,C50-H50),"")</f>
        <v/>
      </c>
      <c r="J50" s="29">
        <f>IFERROR(IF(F50&gt;=参数配置!$C$13,"全仓清仓",IF(H50&gt;C50,"卖出超额","正常定投")),"")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IFERROR(IF(F51&gt;=参数配置!$C$13,-H51,C51-H51),"")</f>
        <v/>
      </c>
      <c r="J51" s="29">
        <f>IFERROR(IF(F51&gt;=参数配置!$C$13,"全仓清仓",IF(H51&gt;C51,"卖出超额","正常定投")),"")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IFERROR(IF(F52&gt;=参数配置!$C$13,-H52,C52-H52),"")</f>
        <v/>
      </c>
      <c r="J52" s="29">
        <f>IFERROR(IF(F52&gt;=参数配置!$C$13,"全仓清仓",IF(H52&gt;C52,"卖出超额","正常定投")),"")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IFERROR(IF(F53&gt;=参数配置!$C$13,-H53,C53-H53),"")</f>
        <v/>
      </c>
      <c r="J53" s="29">
        <f>IFERROR(IF(F53&gt;=参数配置!$C$13,"全仓清仓",IF(H53&gt;C53,"卖出超额","正常定投")),"")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IFERROR(IF(F54&gt;=参数配置!$C$13,-H54,C54-H54),"")</f>
        <v/>
      </c>
      <c r="J54" s="29">
        <f>IFERROR(IF(F54&gt;=参数配置!$C$13,"全仓清仓",IF(H54&gt;C54,"卖出超额","正常定投")),"")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IFERROR(IF(F55&gt;=参数配置!$C$13,-H55,C55-H55),"")</f>
        <v/>
      </c>
      <c r="J55" s="29">
        <f>IFERROR(IF(F55&gt;=参数配置!$C$13,"全仓清仓",IF(H55&gt;C55,"卖出超额","正常定投")),"")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IFERROR(IF(F56&gt;=参数配置!$C$13,-H56,C56-H56),"")</f>
        <v/>
      </c>
      <c r="J56" s="29">
        <f>IFERROR(IF(F56&gt;=参数配置!$C$13,"全仓清仓",IF(H56&gt;C56,"卖出超额","正常定投")),"")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IFERROR(IF(F57&gt;=参数配置!$C$13,-H57,C57-H57),"")</f>
        <v/>
      </c>
      <c r="J57" s="29">
        <f>IFERROR(IF(F57&gt;=参数配置!$C$13,"全仓清仓",IF(H57&gt;C57,"卖出超额","正常定投")),"")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IFERROR(IF(F58&gt;=参数配置!$C$13,-H58,C58-H58),"")</f>
        <v/>
      </c>
      <c r="J58" s="29">
        <f>IFERROR(IF(F58&gt;=参数配置!$C$13,"全仓清仓",IF(H58&gt;C58,"卖出超额","正常定投")),"")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IFERROR(IF(F59&gt;=参数配置!$C$13,-H59,C59-H59),"")</f>
        <v/>
      </c>
      <c r="J59" s="29">
        <f>IFERROR(IF(F59&gt;=参数配置!$C$13,"全仓清仓",IF(H59&gt;C59,"卖出超额","正常定投")),"")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IFERROR(IF(F60&gt;=参数配置!$C$13,-H60,C60-H60),"")</f>
        <v/>
      </c>
      <c r="J60" s="29">
        <f>IFERROR(IF(F60&gt;=参数配置!$C$13,"全仓清仓",IF(H60&gt;C60,"卖出超额","正常定投")),"")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IFERROR(IF(F61&gt;=参数配置!$C$13,-H61,C61-H61),"")</f>
        <v/>
      </c>
      <c r="J61" s="29">
        <f>IFERROR(IF(F61&gt;=参数配置!$C$13,"全仓清仓",IF(H61&gt;C61,"卖出超额","正常定投")),"")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IFERROR(IF(F62&gt;=参数配置!$C$13,-H62,C62-H62),"")</f>
        <v/>
      </c>
      <c r="J62" s="29">
        <f>IFERROR(IF(F62&gt;=参数配置!$C$13,"全仓清仓",IF(H62&gt;C62,"卖出超额","正常定投")),"")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IFERROR(IF(F63&gt;=参数配置!$C$13,-H63,C63-H63),"")</f>
        <v/>
      </c>
      <c r="J63" s="29">
        <f>IFERROR(IF(F63&gt;=参数配置!$C$13,"全仓清仓",IF(H63&gt;C63,"卖出超额","正常定投")),"")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IFERROR(IF(F64&gt;=参数配置!$C$13,-H64,C64-H64),"")</f>
        <v/>
      </c>
      <c r="J64" s="29">
        <f>IFERROR(IF(F64&gt;=参数配置!$C$13,"全仓清仓",IF(H64&gt;C64,"卖出超额","正常定投")),"")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IFERROR(IF(F65&gt;=参数配置!$C$13,-H65,C65-H65),"")</f>
        <v/>
      </c>
      <c r="J65" s="29">
        <f>IFERROR(IF(F65&gt;=参数配置!$C$13,"全仓清仓",IF(H65&gt;C65,"卖出超额","正常定投")),"")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IFERROR(IF(F66&gt;=参数配置!$C$13,-H66,C66-H66),"")</f>
        <v/>
      </c>
      <c r="J66" s="29">
        <f>IFERROR(IF(F66&gt;=参数配置!$C$13,"全仓清仓",IF(H66&gt;C66,"卖出超额","正常定投")),"")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IFERROR(IF(F67&gt;=参数配置!$C$13,-H67,C67-H67),"")</f>
        <v/>
      </c>
      <c r="J67" s="29">
        <f>IFERROR(IF(F67&gt;=参数配置!$C$13,"全仓清仓",IF(H67&gt;C67,"卖出超额","正常定投")),"")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IFERROR(IF(F68&gt;=参数配置!$C$13,-H68,C68-H68),"")</f>
        <v/>
      </c>
      <c r="J68" s="29">
        <f>IFERROR(IF(F68&gt;=参数配置!$C$13,"全仓清仓",IF(H68&gt;C68,"卖出超额","正常定投")),"")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IFERROR(IF(F69&gt;=参数配置!$C$13,-H69,C69-H69),"")</f>
        <v/>
      </c>
      <c r="J69" s="29">
        <f>IFERROR(IF(F69&gt;=参数配置!$C$13,"全仓清仓",IF(H69&gt;C69,"卖出超额","正常定投")),"")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IFERROR(IF(F70&gt;=参数配置!$C$13,-H70,C70-H70),"")</f>
        <v/>
      </c>
      <c r="J70" s="29">
        <f>IFERROR(IF(F70&gt;=参数配置!$C$13,"全仓清仓",IF(H70&gt;C70,"卖出超额","正常定投")),"")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IFERROR(IF(F71&gt;=参数配置!$C$13,-H71,C71-H71),"")</f>
        <v/>
      </c>
      <c r="J71" s="29">
        <f>IFERROR(IF(F71&gt;=参数配置!$C$13,"全仓清仓",IF(H71&gt;C71,"卖出超额","正常定投")),"")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IFERROR(IF(F72&gt;=参数配置!$C$13,-H72,C72-H72),"")</f>
        <v/>
      </c>
      <c r="J72" s="29">
        <f>IFERROR(IF(F72&gt;=参数配置!$C$13,"全仓清仓",IF(H72&gt;C72,"卖出超额","正常定投")),"")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IFERROR(IF(F73&gt;=参数配置!$C$13,-H73,C73-H73),"")</f>
        <v/>
      </c>
      <c r="J73" s="29">
        <f>IFERROR(IF(F73&gt;=参数配置!$C$13,"全仓清仓",IF(H73&gt;C73,"卖出超额","正常定投")),"")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IFERROR(IF(F74&gt;=参数配置!$C$13,-H74,C74-H74),"")</f>
        <v/>
      </c>
      <c r="J74" s="29">
        <f>IFERROR(IF(F74&gt;=参数配置!$C$13,"全仓清仓",IF(H74&gt;C74,"卖出超额","正常定投")),"")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IFERROR(IF(F75&gt;=参数配置!$C$13,-H75,C75-H75),"")</f>
        <v/>
      </c>
      <c r="J75" s="29">
        <f>IFERROR(IF(F75&gt;=参数配置!$C$13,"全仓清仓",IF(H75&gt;C75,"卖出超额","正常定投")),"")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IFERROR(IF(F76&gt;=参数配置!$C$13,-H76,C76-H76),"")</f>
        <v/>
      </c>
      <c r="J76" s="29">
        <f>IFERROR(IF(F76&gt;=参数配置!$C$13,"全仓清仓",IF(H76&gt;C76,"卖出超额","正常定投")),"")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IFERROR(IF(F77&gt;=参数配置!$C$13,-H77,C77-H77),"")</f>
        <v/>
      </c>
      <c r="J77" s="29">
        <f>IFERROR(IF(F77&gt;=参数配置!$C$13,"全仓清仓",IF(H77&gt;C77,"卖出超额","正常定投")),"")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IFERROR(IF(F78&gt;=参数配置!$C$13,-H78,C78-H78),"")</f>
        <v/>
      </c>
      <c r="J78" s="29">
        <f>IFERROR(IF(F78&gt;=参数配置!$C$13,"全仓清仓",IF(H78&gt;C78,"卖出超额","正常定投")),"")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IFERROR(IF(F79&gt;=参数配置!$C$13,-H79,C79-H79),"")</f>
        <v/>
      </c>
      <c r="J79" s="29">
        <f>IFERROR(IF(F79&gt;=参数配置!$C$13,"全仓清仓",IF(H79&gt;C79,"卖出超额","正常定投")),"")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IFERROR(IF(F80&gt;=参数配置!$C$13,-H80,C80-H80),"")</f>
        <v/>
      </c>
      <c r="J80" s="29">
        <f>IFERROR(IF(F80&gt;=参数配置!$C$13,"全仓清仓",IF(H80&gt;C80,"卖出超额","正常定投")),"")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IFERROR(IF(F81&gt;=参数配置!$C$13,-H81,C81-H81),"")</f>
        <v/>
      </c>
      <c r="J81" s="29">
        <f>IFERROR(IF(F81&gt;=参数配置!$C$13,"全仓清仓",IF(H81&gt;C81,"卖出超额","正常定投")),"")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IFERROR(IF(F82&gt;=参数配置!$C$13,-H82,C82-H82),"")</f>
        <v/>
      </c>
      <c r="J82" s="29">
        <f>IFERROR(IF(F82&gt;=参数配置!$C$13,"全仓清仓",IF(H82&gt;C82,"卖出超额","正常定投")),"")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IFERROR(IF(F83&gt;=参数配置!$C$13,-H83,C83-H83),"")</f>
        <v/>
      </c>
      <c r="J83" s="29">
        <f>IFERROR(IF(F83&gt;=参数配置!$C$13,"全仓清仓",IF(H83&gt;C83,"卖出超额","正常定投")),"")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IFERROR(IF(F84&gt;=参数配置!$C$13,-H84,C84-H84),"")</f>
        <v/>
      </c>
      <c r="J84" s="29">
        <f>IFERROR(IF(F84&gt;=参数配置!$C$13,"全仓清仓",IF(H84&gt;C84,"卖出超额","正常定投")),"")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IFERROR(IF(F85&gt;=参数配置!$C$13,-H85,C85-H85),"")</f>
        <v/>
      </c>
      <c r="J85" s="29">
        <f>IFERROR(IF(F85&gt;=参数配置!$C$13,"全仓清仓",IF(H85&gt;C85,"卖出超额","正常定投")),"")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IFERROR(IF(F86&gt;=参数配置!$C$13,-H86,C86-H86),"")</f>
        <v/>
      </c>
      <c r="J86" s="29">
        <f>IFERROR(IF(F86&gt;=参数配置!$C$13,"全仓清仓",IF(H86&gt;C86,"卖出超额","正常定投")),"")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IFERROR(IF(F87&gt;=参数配置!$C$13,-H87,C87-H87),"")</f>
        <v/>
      </c>
      <c r="J87" s="29">
        <f>IFERROR(IF(F87&gt;=参数配置!$C$13,"全仓清仓",IF(H87&gt;C87,"卖出超额","正常定投")),"")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IFERROR(IF(F88&gt;=参数配置!$C$13,-H88,C88-H88),"")</f>
        <v/>
      </c>
      <c r="J88" s="29">
        <f>IFERROR(IF(F88&gt;=参数配置!$C$13,"全仓清仓",IF(H88&gt;C88,"卖出超额","正常定投")),"")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IFERROR(IF(F89&gt;=参数配置!$C$13,-H89,C89-H89),"")</f>
        <v/>
      </c>
      <c r="J89" s="29">
        <f>IFERROR(IF(F89&gt;=参数配置!$C$13,"全仓清仓",IF(H89&gt;C89,"卖出超额","正常定投")),"")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IFERROR(IF(F90&gt;=参数配置!$C$13,-H90,C90-H90),"")</f>
        <v/>
      </c>
      <c r="J90" s="29">
        <f>IFERROR(IF(F90&gt;=参数配置!$C$13,"全仓清仓",IF(H90&gt;C90,"卖出超额","正常定投")),"")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IFERROR(IF(F91&gt;=参数配置!$C$13,-H91,C91-H91),"")</f>
        <v/>
      </c>
      <c r="J91" s="29">
        <f>IFERROR(IF(F91&gt;=参数配置!$C$13,"全仓清仓",IF(H91&gt;C91,"卖出超额","正常定投")),"")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IFERROR(IF(F92&gt;=参数配置!$C$13,-H92,C92-H92),"")</f>
        <v/>
      </c>
      <c r="J92" s="29">
        <f>IFERROR(IF(F92&gt;=参数配置!$C$13,"全仓清仓",IF(H92&gt;C92,"卖出超额","正常定投")),"")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IFERROR(IF(F93&gt;=参数配置!$C$13,-H93,C93-H93),"")</f>
        <v/>
      </c>
      <c r="J93" s="29">
        <f>IFERROR(IF(F93&gt;=参数配置!$C$13,"全仓清仓",IF(H93&gt;C93,"卖出超额","正常定投")),"")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IFERROR(IF(F94&gt;=参数配置!$C$13,-H94,C94-H94),"")</f>
        <v/>
      </c>
      <c r="J94" s="29">
        <f>IFERROR(IF(F94&gt;=参数配置!$C$13,"全仓清仓",IF(H94&gt;C94,"卖出超额","正常定投")),"")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IFERROR(IF(F95&gt;=参数配置!$C$13,-H95,C95-H95),"")</f>
        <v/>
      </c>
      <c r="J95" s="29">
        <f>IFERROR(IF(F95&gt;=参数配置!$C$13,"全仓清仓",IF(H95&gt;C95,"卖出超额","正常定投")),"")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IFERROR(IF(F96&gt;=参数配置!$C$13,-H96,C96-H96),"")</f>
        <v/>
      </c>
      <c r="J96" s="29">
        <f>IFERROR(IF(F96&gt;=参数配置!$C$13,"全仓清仓",IF(H96&gt;C96,"卖出超额","正常定投")),"")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IFERROR(IF(F97&gt;=参数配置!$C$13,-H97,C97-H97),"")</f>
        <v/>
      </c>
      <c r="J97" s="29">
        <f>IFERROR(IF(F97&gt;=参数配置!$C$13,"全仓清仓",IF(H97&gt;C97,"卖出超额","正常定投")),"")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IFERROR(IF(F98&gt;=参数配置!$C$13,-H98,C98-H98),"")</f>
        <v/>
      </c>
      <c r="J98" s="29">
        <f>IFERROR(IF(F98&gt;=参数配置!$C$13,"全仓清仓",IF(H98&gt;C98,"卖出超额","正常定投")),"")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IFERROR(IF(F99&gt;=参数配置!$C$13,-H99,C99-H99),"")</f>
        <v/>
      </c>
      <c r="J99" s="29">
        <f>IFERROR(IF(F99&gt;=参数配置!$C$13,"全仓清仓",IF(H99&gt;C99,"卖出超额","正常定投")),"")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IFERROR(IF(F100&gt;=参数配置!$C$13,-H100,C100-H100),"")</f>
        <v/>
      </c>
      <c r="J100" s="29">
        <f>IFERROR(IF(F100&gt;=参数配置!$C$13,"全仓清仓",IF(H100&gt;C100,"卖出超额","正常定投")),"")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IFERROR(IF(F101&gt;=参数配置!$C$13,-H101,C101-H101),"")</f>
        <v/>
      </c>
      <c r="J101" s="29">
        <f>IFERROR(IF(F101&gt;=参数配置!$C$13,"全仓清仓",IF(H101&gt;C101,"卖出超额","正常定投")),"")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IFERROR(IF(F102&gt;=参数配置!$C$13,-H102,C102-H102),"")</f>
        <v/>
      </c>
      <c r="J102" s="29">
        <f>IFERROR(IF(F102&gt;=参数配置!$C$13,"全仓清仓",IF(H102&gt;C102,"卖出超额","正常定投")),"")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IFERROR(IF(F103&gt;=参数配置!$C$13,-H103,C103-H103),"")</f>
        <v/>
      </c>
      <c r="J103" s="29">
        <f>IFERROR(IF(F103&gt;=参数配置!$C$13,"全仓清仓",IF(H103&gt;C103,"卖出超额","正常定投")),"")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IFERROR(IF(F104&gt;=参数配置!$C$13,-H104,C104-H104),"")</f>
        <v/>
      </c>
      <c r="J104" s="29">
        <f>IFERROR(IF(F104&gt;=参数配置!$C$13,"全仓清仓",IF(H104&gt;C104,"卖出超额","正常定投")),"")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IFERROR(参数配置!$C$7*(B5-$S$3),"")</f>
        <v/>
      </c>
      <c r="D5" s="27" t="n">
        <v>1.526</v>
      </c>
      <c r="E5" s="27" t="n">
        <v>1.5383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IFERROR(IF(F5&gt;=参数配置!$C$14,-H5,C5-H5),"")</f>
        <v/>
      </c>
      <c r="J5" s="29">
        <f>IFERROR(IF(F5&gt;=参数配置!$C$14,"全仓清仓",IF(H5&gt;C5,"卖出超额","正常定投")),"")</f>
        <v/>
      </c>
      <c r="K5" s="30">
        <f>IFERROR(I5,"")</f>
        <v/>
      </c>
      <c r="L5" s="17" t="n">
        <v>457.8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IFERROR(参数配置!$C$7*(B6-$S$3),"")</f>
        <v/>
      </c>
      <c r="D6" s="27" t="n">
        <v>1.548</v>
      </c>
      <c r="E6" s="27" t="n">
        <v>1.5441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IFERROR(IF(F6&gt;=参数配置!$C$14,-H6,C6-H6),"")</f>
        <v/>
      </c>
      <c r="J6" s="29">
        <f>IFERROR(IF(F6&gt;=参数配置!$C$14,"全仓清仓",IF(H6&gt;C6,"卖出超额","正常定投")),"")</f>
        <v/>
      </c>
      <c r="K6" s="30">
        <f>IFERROR(I6,"")</f>
        <v/>
      </c>
      <c r="L6" s="17" t="n">
        <v>619.2</v>
      </c>
      <c r="M6" s="27" t="n">
        <v>400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IFERROR(参数配置!$C$7*(B7-$S$3),"")</f>
        <v/>
      </c>
      <c r="D7" s="27" t="n">
        <v>1.504</v>
      </c>
      <c r="E7" s="27" t="n">
        <v>1.5507</v>
      </c>
      <c r="F7" s="28">
        <f>IFERROR((D7-E7)/E7,"")</f>
        <v/>
      </c>
      <c r="G7" s="27" t="n">
        <v>700</v>
      </c>
      <c r="H7" s="7">
        <f>IFERROR(G7*D7,"")</f>
        <v/>
      </c>
      <c r="I7" s="7">
        <f>IFERROR(IF(F7&gt;=参数配置!$C$14,-H7,C7-H7),"")</f>
        <v/>
      </c>
      <c r="J7" s="29">
        <f>IFERROR(IF(F7&gt;=参数配置!$C$14,"全仓清仓",IF(H7&gt;C7,"卖出超额","正常定投")),"")</f>
        <v/>
      </c>
      <c r="K7" s="30">
        <f>IFERROR(I7,"")</f>
        <v/>
      </c>
      <c r="L7" s="17" t="n">
        <v>752</v>
      </c>
      <c r="M7" s="27" t="n">
        <v>500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IFERROR(参数配置!$C$7*(B8-$S$3),"")</f>
        <v/>
      </c>
      <c r="D8" s="27" t="n">
        <v>1.48</v>
      </c>
      <c r="E8" s="27" t="n">
        <v>1.553168001651764</v>
      </c>
      <c r="F8" s="28">
        <f>IFERROR((D8-E8)/E8,"")</f>
        <v/>
      </c>
      <c r="G8" s="27" t="n">
        <v>1200</v>
      </c>
      <c r="H8" s="7">
        <f>IFERROR(G8*D8,"")</f>
        <v/>
      </c>
      <c r="I8" s="7">
        <f>IFERROR(IF(F8&gt;=参数配置!$C$14,-H8,C8-H8),"")</f>
        <v/>
      </c>
      <c r="J8" s="29">
        <f>IFERROR(IF(F8&gt;=参数配置!$C$14,"全仓清仓",IF(H8&gt;C8,"卖出超额","正常定投")),"")</f>
        <v/>
      </c>
      <c r="K8" s="30">
        <f>IFERROR(I8,"")</f>
        <v/>
      </c>
      <c r="L8" s="17" t="n">
        <v>740</v>
      </c>
      <c r="M8" s="27" t="n">
        <v>500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IFERROR(参数配置!$C$7*(B9-$S$3),"")</f>
        <v/>
      </c>
      <c r="D9" s="27" t="n">
        <v>1.412</v>
      </c>
      <c r="E9" s="27" t="n">
        <v>1.553168001651764</v>
      </c>
      <c r="F9" s="28">
        <f>IFERROR((D9-E9)/E9,"")</f>
        <v/>
      </c>
      <c r="G9" s="27" t="n">
        <v>1700</v>
      </c>
      <c r="H9" s="7">
        <f>IFERROR(G9*D9,"")</f>
        <v/>
      </c>
      <c r="I9" s="7">
        <f>IFERROR(IF(F9&gt;=参数配置!$C$14,-H9,C9-H9),"")</f>
        <v/>
      </c>
      <c r="J9" s="29">
        <f>IFERROR(IF(F9&gt;=参数配置!$C$14,"全仓清仓",IF(H9&gt;C9,"卖出超额","正常定投")),"")</f>
        <v/>
      </c>
      <c r="K9" s="30">
        <f>IFERROR(I9,"")</f>
        <v/>
      </c>
      <c r="L9" s="17" t="n">
        <v>706</v>
      </c>
      <c r="M9" s="27" t="n">
        <v>500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IFERROR(参数配置!$C$7*(B10-$S$3),"")</f>
        <v/>
      </c>
      <c r="D10" s="27" t="n">
        <v>1.382</v>
      </c>
      <c r="E10" s="27" t="n">
        <v>1.553168001651764</v>
      </c>
      <c r="F10" s="28">
        <f>IFERROR((D10-E10)/E10,"")</f>
        <v/>
      </c>
      <c r="G10" s="27" t="n">
        <v>2200</v>
      </c>
      <c r="H10" s="7">
        <f>IFERROR(G10*D10,"")</f>
        <v/>
      </c>
      <c r="I10" s="7">
        <f>IFERROR(IF(F10&gt;=参数配置!$C$14,-H10,C10-H10),"")</f>
        <v/>
      </c>
      <c r="J10" s="29">
        <f>IFERROR(IF(F10&gt;=参数配置!$C$14,"全仓清仓",IF(H10&gt;C10,"卖出超额","正常定投")),"")</f>
        <v/>
      </c>
      <c r="K10" s="30">
        <f>IFERROR(I10,"")</f>
        <v/>
      </c>
      <c r="L10" s="17" t="n">
        <v>552.8</v>
      </c>
      <c r="M10" s="27" t="n">
        <v>400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IFERROR(IF(F11&gt;=参数配置!$C$14,-H11,C11-H11),"")</f>
        <v/>
      </c>
      <c r="J11" s="29">
        <f>IFERROR(IF(F11&gt;=参数配置!$C$14,"全仓清仓",IF(H11&gt;C11,"卖出超额","正常定投")),"")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IFERROR(IF(F12&gt;=参数配置!$C$14,-H12,C12-H12),"")</f>
        <v/>
      </c>
      <c r="J12" s="29">
        <f>IFERROR(IF(F12&gt;=参数配置!$C$14,"全仓清仓",IF(H12&gt;C12,"卖出超额","正常定投")),"")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IFERROR(IF(F13&gt;=参数配置!$C$14,-H13,C13-H13),"")</f>
        <v/>
      </c>
      <c r="J13" s="29">
        <f>IFERROR(IF(F13&gt;=参数配置!$C$14,"全仓清仓",IF(H13&gt;C13,"卖出超额","正常定投")),"")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IFERROR(IF(F14&gt;=参数配置!$C$14,-H14,C14-H14),"")</f>
        <v/>
      </c>
      <c r="J14" s="29">
        <f>IFERROR(IF(F14&gt;=参数配置!$C$14,"全仓清仓",IF(H14&gt;C14,"卖出超额","正常定投")),"")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IFERROR(IF(F15&gt;=参数配置!$C$14,-H15,C15-H15),"")</f>
        <v/>
      </c>
      <c r="J15" s="29">
        <f>IFERROR(IF(F15&gt;=参数配置!$C$14,"全仓清仓",IF(H15&gt;C15,"卖出超额","正常定投")),"")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IFERROR(IF(F16&gt;=参数配置!$C$14,-H16,C16-H16),"")</f>
        <v/>
      </c>
      <c r="J16" s="29">
        <f>IFERROR(IF(F16&gt;=参数配置!$C$14,"全仓清仓",IF(H16&gt;C16,"卖出超额","正常定投")),"")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IFERROR(IF(F17&gt;=参数配置!$C$14,-H17,C17-H17),"")</f>
        <v/>
      </c>
      <c r="J17" s="29">
        <f>IFERROR(IF(F17&gt;=参数配置!$C$14,"全仓清仓",IF(H17&gt;C17,"卖出超额","正常定投")),"")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IFERROR(IF(F18&gt;=参数配置!$C$14,-H18,C18-H18),"")</f>
        <v/>
      </c>
      <c r="J18" s="29">
        <f>IFERROR(IF(F18&gt;=参数配置!$C$14,"全仓清仓",IF(H18&gt;C18,"卖出超额","正常定投")),"")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IFERROR(IF(F19&gt;=参数配置!$C$14,-H19,C19-H19),"")</f>
        <v/>
      </c>
      <c r="J19" s="29">
        <f>IFERROR(IF(F19&gt;=参数配置!$C$14,"全仓清仓",IF(H19&gt;C19,"卖出超额","正常定投")),"")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IFERROR(IF(F20&gt;=参数配置!$C$14,-H20,C20-H20),"")</f>
        <v/>
      </c>
      <c r="J20" s="29">
        <f>IFERROR(IF(F20&gt;=参数配置!$C$14,"全仓清仓",IF(H20&gt;C20,"卖出超额","正常定投")),"")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IFERROR(IF(F21&gt;=参数配置!$C$14,-H21,C21-H21),"")</f>
        <v/>
      </c>
      <c r="J21" s="29">
        <f>IFERROR(IF(F21&gt;=参数配置!$C$14,"全仓清仓",IF(H21&gt;C21,"卖出超额","正常定投")),"")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IFERROR(IF(F22&gt;=参数配置!$C$14,-H22,C22-H22),"")</f>
        <v/>
      </c>
      <c r="J22" s="29">
        <f>IFERROR(IF(F22&gt;=参数配置!$C$14,"全仓清仓",IF(H22&gt;C22,"卖出超额","正常定投")),"")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IFERROR(IF(F23&gt;=参数配置!$C$14,-H23,C23-H23),"")</f>
        <v/>
      </c>
      <c r="J23" s="29">
        <f>IFERROR(IF(F23&gt;=参数配置!$C$14,"全仓清仓",IF(H23&gt;C23,"卖出超额","正常定投")),"")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IFERROR(IF(F24&gt;=参数配置!$C$14,-H24,C24-H24),"")</f>
        <v/>
      </c>
      <c r="J24" s="29">
        <f>IFERROR(IF(F24&gt;=参数配置!$C$14,"全仓清仓",IF(H24&gt;C24,"卖出超额","正常定投")),"")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IFERROR(IF(F25&gt;=参数配置!$C$14,-H25,C25-H25),"")</f>
        <v/>
      </c>
      <c r="J25" s="29">
        <f>IFERROR(IF(F25&gt;=参数配置!$C$14,"全仓清仓",IF(H25&gt;C25,"卖出超额","正常定投")),"")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IFERROR(IF(F26&gt;=参数配置!$C$14,-H26,C26-H26),"")</f>
        <v/>
      </c>
      <c r="J26" s="29">
        <f>IFERROR(IF(F26&gt;=参数配置!$C$14,"全仓清仓",IF(H26&gt;C26,"卖出超额","正常定投")),"")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IFERROR(IF(F27&gt;=参数配置!$C$14,-H27,C27-H27),"")</f>
        <v/>
      </c>
      <c r="J27" s="29">
        <f>IFERROR(IF(F27&gt;=参数配置!$C$14,"全仓清仓",IF(H27&gt;C27,"卖出超额","正常定投")),"")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IFERROR(IF(F28&gt;=参数配置!$C$14,-H28,C28-H28),"")</f>
        <v/>
      </c>
      <c r="J28" s="29">
        <f>IFERROR(IF(F28&gt;=参数配置!$C$14,"全仓清仓",IF(H28&gt;C28,"卖出超额","正常定投")),"")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IFERROR(IF(F29&gt;=参数配置!$C$14,-H29,C29-H29),"")</f>
        <v/>
      </c>
      <c r="J29" s="29">
        <f>IFERROR(IF(F29&gt;=参数配置!$C$14,"全仓清仓",IF(H29&gt;C29,"卖出超额","正常定投")),"")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IFERROR(IF(F30&gt;=参数配置!$C$14,-H30,C30-H30),"")</f>
        <v/>
      </c>
      <c r="J30" s="29">
        <f>IFERROR(IF(F30&gt;=参数配置!$C$14,"全仓清仓",IF(H30&gt;C30,"卖出超额","正常定投")),"")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IFERROR(IF(F31&gt;=参数配置!$C$14,-H31,C31-H31),"")</f>
        <v/>
      </c>
      <c r="J31" s="29">
        <f>IFERROR(IF(F31&gt;=参数配置!$C$14,"全仓清仓",IF(H31&gt;C31,"卖出超额","正常定投")),"")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IFERROR(IF(F32&gt;=参数配置!$C$14,-H32,C32-H32),"")</f>
        <v/>
      </c>
      <c r="J32" s="29">
        <f>IFERROR(IF(F32&gt;=参数配置!$C$14,"全仓清仓",IF(H32&gt;C32,"卖出超额","正常定投")),"")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IFERROR(IF(F33&gt;=参数配置!$C$14,-H33,C33-H33),"")</f>
        <v/>
      </c>
      <c r="J33" s="29">
        <f>IFERROR(IF(F33&gt;=参数配置!$C$14,"全仓清仓",IF(H33&gt;C33,"卖出超额","正常定投")),"")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IFERROR(IF(F34&gt;=参数配置!$C$14,-H34,C34-H34),"")</f>
        <v/>
      </c>
      <c r="J34" s="29">
        <f>IFERROR(IF(F34&gt;=参数配置!$C$14,"全仓清仓",IF(H34&gt;C34,"卖出超额","正常定投")),"")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IFERROR(IF(F35&gt;=参数配置!$C$14,-H35,C35-H35),"")</f>
        <v/>
      </c>
      <c r="J35" s="29">
        <f>IFERROR(IF(F35&gt;=参数配置!$C$14,"全仓清仓",IF(H35&gt;C35,"卖出超额","正常定投")),"")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IFERROR(IF(F36&gt;=参数配置!$C$14,-H36,C36-H36),"")</f>
        <v/>
      </c>
      <c r="J36" s="29">
        <f>IFERROR(IF(F36&gt;=参数配置!$C$14,"全仓清仓",IF(H36&gt;C36,"卖出超额","正常定投")),"")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IFERROR(IF(F37&gt;=参数配置!$C$14,-H37,C37-H37),"")</f>
        <v/>
      </c>
      <c r="J37" s="29">
        <f>IFERROR(IF(F37&gt;=参数配置!$C$14,"全仓清仓",IF(H37&gt;C37,"卖出超额","正常定投")),"")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IFERROR(IF(F38&gt;=参数配置!$C$14,-H38,C38-H38),"")</f>
        <v/>
      </c>
      <c r="J38" s="29">
        <f>IFERROR(IF(F38&gt;=参数配置!$C$14,"全仓清仓",IF(H38&gt;C38,"卖出超额","正常定投")),"")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IFERROR(IF(F39&gt;=参数配置!$C$14,-H39,C39-H39),"")</f>
        <v/>
      </c>
      <c r="J39" s="29">
        <f>IFERROR(IF(F39&gt;=参数配置!$C$14,"全仓清仓",IF(H39&gt;C39,"卖出超额","正常定投")),"")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IFERROR(IF(F40&gt;=参数配置!$C$14,-H40,C40-H40),"")</f>
        <v/>
      </c>
      <c r="J40" s="29">
        <f>IFERROR(IF(F40&gt;=参数配置!$C$14,"全仓清仓",IF(H40&gt;C40,"卖出超额","正常定投")),"")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IFERROR(IF(F41&gt;=参数配置!$C$14,-H41,C41-H41),"")</f>
        <v/>
      </c>
      <c r="J41" s="29">
        <f>IFERROR(IF(F41&gt;=参数配置!$C$14,"全仓清仓",IF(H41&gt;C41,"卖出超额","正常定投")),"")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IFERROR(IF(F42&gt;=参数配置!$C$14,-H42,C42-H42),"")</f>
        <v/>
      </c>
      <c r="J42" s="29">
        <f>IFERROR(IF(F42&gt;=参数配置!$C$14,"全仓清仓",IF(H42&gt;C42,"卖出超额","正常定投")),"")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IFERROR(IF(F43&gt;=参数配置!$C$14,-H43,C43-H43),"")</f>
        <v/>
      </c>
      <c r="J43" s="29">
        <f>IFERROR(IF(F43&gt;=参数配置!$C$14,"全仓清仓",IF(H43&gt;C43,"卖出超额","正常定投")),"")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IFERROR(IF(F44&gt;=参数配置!$C$14,-H44,C44-H44),"")</f>
        <v/>
      </c>
      <c r="J44" s="29">
        <f>IFERROR(IF(F44&gt;=参数配置!$C$14,"全仓清仓",IF(H44&gt;C44,"卖出超额","正常定投")),"")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IFERROR(IF(F45&gt;=参数配置!$C$14,-H45,C45-H45),"")</f>
        <v/>
      </c>
      <c r="J45" s="29">
        <f>IFERROR(IF(F45&gt;=参数配置!$C$14,"全仓清仓",IF(H45&gt;C45,"卖出超额","正常定投")),"")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IFERROR(IF(F46&gt;=参数配置!$C$14,-H46,C46-H46),"")</f>
        <v/>
      </c>
      <c r="J46" s="29">
        <f>IFERROR(IF(F46&gt;=参数配置!$C$14,"全仓清仓",IF(H46&gt;C46,"卖出超额","正常定投")),"")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IFERROR(IF(F47&gt;=参数配置!$C$14,-H47,C47-H47),"")</f>
        <v/>
      </c>
      <c r="J47" s="29">
        <f>IFERROR(IF(F47&gt;=参数配置!$C$14,"全仓清仓",IF(H47&gt;C47,"卖出超额","正常定投")),"")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IFERROR(IF(F48&gt;=参数配置!$C$14,-H48,C48-H48),"")</f>
        <v/>
      </c>
      <c r="J48" s="29">
        <f>IFERROR(IF(F48&gt;=参数配置!$C$14,"全仓清仓",IF(H48&gt;C48,"卖出超额","正常定投")),"")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IFERROR(IF(F49&gt;=参数配置!$C$14,-H49,C49-H49),"")</f>
        <v/>
      </c>
      <c r="J49" s="29">
        <f>IFERROR(IF(F49&gt;=参数配置!$C$14,"全仓清仓",IF(H49&gt;C49,"卖出超额","正常定投")),"")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IFERROR(IF(F50&gt;=参数配置!$C$14,-H50,C50-H50),"")</f>
        <v/>
      </c>
      <c r="J50" s="29">
        <f>IFERROR(IF(F50&gt;=参数配置!$C$14,"全仓清仓",IF(H50&gt;C50,"卖出超额","正常定投")),"")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IFERROR(IF(F51&gt;=参数配置!$C$14,-H51,C51-H51),"")</f>
        <v/>
      </c>
      <c r="J51" s="29">
        <f>IFERROR(IF(F51&gt;=参数配置!$C$14,"全仓清仓",IF(H51&gt;C51,"卖出超额","正常定投")),"")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IFERROR(IF(F52&gt;=参数配置!$C$14,-H52,C52-H52),"")</f>
        <v/>
      </c>
      <c r="J52" s="29">
        <f>IFERROR(IF(F52&gt;=参数配置!$C$14,"全仓清仓",IF(H52&gt;C52,"卖出超额","正常定投")),"")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IFERROR(IF(F53&gt;=参数配置!$C$14,-H53,C53-H53),"")</f>
        <v/>
      </c>
      <c r="J53" s="29">
        <f>IFERROR(IF(F53&gt;=参数配置!$C$14,"全仓清仓",IF(H53&gt;C53,"卖出超额","正常定投")),"")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IFERROR(IF(F54&gt;=参数配置!$C$14,-H54,C54-H54),"")</f>
        <v/>
      </c>
      <c r="J54" s="29">
        <f>IFERROR(IF(F54&gt;=参数配置!$C$14,"全仓清仓",IF(H54&gt;C54,"卖出超额","正常定投")),"")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IFERROR(IF(F55&gt;=参数配置!$C$14,-H55,C55-H55),"")</f>
        <v/>
      </c>
      <c r="J55" s="29">
        <f>IFERROR(IF(F55&gt;=参数配置!$C$14,"全仓清仓",IF(H55&gt;C55,"卖出超额","正常定投")),"")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IFERROR(IF(F56&gt;=参数配置!$C$14,-H56,C56-H56),"")</f>
        <v/>
      </c>
      <c r="J56" s="29">
        <f>IFERROR(IF(F56&gt;=参数配置!$C$14,"全仓清仓",IF(H56&gt;C56,"卖出超额","正常定投")),"")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IFERROR(IF(F57&gt;=参数配置!$C$14,-H57,C57-H57),"")</f>
        <v/>
      </c>
      <c r="J57" s="29">
        <f>IFERROR(IF(F57&gt;=参数配置!$C$14,"全仓清仓",IF(H57&gt;C57,"卖出超额","正常定投")),"")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IFERROR(IF(F58&gt;=参数配置!$C$14,-H58,C58-H58),"")</f>
        <v/>
      </c>
      <c r="J58" s="29">
        <f>IFERROR(IF(F58&gt;=参数配置!$C$14,"全仓清仓",IF(H58&gt;C58,"卖出超额","正常定投")),"")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IFERROR(IF(F59&gt;=参数配置!$C$14,-H59,C59-H59),"")</f>
        <v/>
      </c>
      <c r="J59" s="29">
        <f>IFERROR(IF(F59&gt;=参数配置!$C$14,"全仓清仓",IF(H59&gt;C59,"卖出超额","正常定投")),"")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IFERROR(IF(F60&gt;=参数配置!$C$14,-H60,C60-H60),"")</f>
        <v/>
      </c>
      <c r="J60" s="29">
        <f>IFERROR(IF(F60&gt;=参数配置!$C$14,"全仓清仓",IF(H60&gt;C60,"卖出超额","正常定投")),"")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IFERROR(IF(F61&gt;=参数配置!$C$14,-H61,C61-H61),"")</f>
        <v/>
      </c>
      <c r="J61" s="29">
        <f>IFERROR(IF(F61&gt;=参数配置!$C$14,"全仓清仓",IF(H61&gt;C61,"卖出超额","正常定投")),"")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IFERROR(IF(F62&gt;=参数配置!$C$14,-H62,C62-H62),"")</f>
        <v/>
      </c>
      <c r="J62" s="29">
        <f>IFERROR(IF(F62&gt;=参数配置!$C$14,"全仓清仓",IF(H62&gt;C62,"卖出超额","正常定投")),"")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IFERROR(IF(F63&gt;=参数配置!$C$14,-H63,C63-H63),"")</f>
        <v/>
      </c>
      <c r="J63" s="29">
        <f>IFERROR(IF(F63&gt;=参数配置!$C$14,"全仓清仓",IF(H63&gt;C63,"卖出超额","正常定投")),"")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IFERROR(IF(F64&gt;=参数配置!$C$14,-H64,C64-H64),"")</f>
        <v/>
      </c>
      <c r="J64" s="29">
        <f>IFERROR(IF(F64&gt;=参数配置!$C$14,"全仓清仓",IF(H64&gt;C64,"卖出超额","正常定投")),"")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IFERROR(IF(F65&gt;=参数配置!$C$14,-H65,C65-H65),"")</f>
        <v/>
      </c>
      <c r="J65" s="29">
        <f>IFERROR(IF(F65&gt;=参数配置!$C$14,"全仓清仓",IF(H65&gt;C65,"卖出超额","正常定投")),"")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IFERROR(IF(F66&gt;=参数配置!$C$14,-H66,C66-H66),"")</f>
        <v/>
      </c>
      <c r="J66" s="29">
        <f>IFERROR(IF(F66&gt;=参数配置!$C$14,"全仓清仓",IF(H66&gt;C66,"卖出超额","正常定投")),"")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IFERROR(IF(F67&gt;=参数配置!$C$14,-H67,C67-H67),"")</f>
        <v/>
      </c>
      <c r="J67" s="29">
        <f>IFERROR(IF(F67&gt;=参数配置!$C$14,"全仓清仓",IF(H67&gt;C67,"卖出超额","正常定投")),"")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IFERROR(IF(F68&gt;=参数配置!$C$14,-H68,C68-H68),"")</f>
        <v/>
      </c>
      <c r="J68" s="29">
        <f>IFERROR(IF(F68&gt;=参数配置!$C$14,"全仓清仓",IF(H68&gt;C68,"卖出超额","正常定投")),"")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IFERROR(IF(F69&gt;=参数配置!$C$14,-H69,C69-H69),"")</f>
        <v/>
      </c>
      <c r="J69" s="29">
        <f>IFERROR(IF(F69&gt;=参数配置!$C$14,"全仓清仓",IF(H69&gt;C69,"卖出超额","正常定投")),"")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IFERROR(IF(F70&gt;=参数配置!$C$14,-H70,C70-H70),"")</f>
        <v/>
      </c>
      <c r="J70" s="29">
        <f>IFERROR(IF(F70&gt;=参数配置!$C$14,"全仓清仓",IF(H70&gt;C70,"卖出超额","正常定投")),"")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IFERROR(IF(F71&gt;=参数配置!$C$14,-H71,C71-H71),"")</f>
        <v/>
      </c>
      <c r="J71" s="29">
        <f>IFERROR(IF(F71&gt;=参数配置!$C$14,"全仓清仓",IF(H71&gt;C71,"卖出超额","正常定投")),"")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IFERROR(IF(F72&gt;=参数配置!$C$14,-H72,C72-H72),"")</f>
        <v/>
      </c>
      <c r="J72" s="29">
        <f>IFERROR(IF(F72&gt;=参数配置!$C$14,"全仓清仓",IF(H72&gt;C72,"卖出超额","正常定投")),"")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IFERROR(IF(F73&gt;=参数配置!$C$14,-H73,C73-H73),"")</f>
        <v/>
      </c>
      <c r="J73" s="29">
        <f>IFERROR(IF(F73&gt;=参数配置!$C$14,"全仓清仓",IF(H73&gt;C73,"卖出超额","正常定投")),"")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IFERROR(IF(F74&gt;=参数配置!$C$14,-H74,C74-H74),"")</f>
        <v/>
      </c>
      <c r="J74" s="29">
        <f>IFERROR(IF(F74&gt;=参数配置!$C$14,"全仓清仓",IF(H74&gt;C74,"卖出超额","正常定投")),"")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IFERROR(IF(F75&gt;=参数配置!$C$14,-H75,C75-H75),"")</f>
        <v/>
      </c>
      <c r="J75" s="29">
        <f>IFERROR(IF(F75&gt;=参数配置!$C$14,"全仓清仓",IF(H75&gt;C75,"卖出超额","正常定投")),"")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IFERROR(IF(F76&gt;=参数配置!$C$14,-H76,C76-H76),"")</f>
        <v/>
      </c>
      <c r="J76" s="29">
        <f>IFERROR(IF(F76&gt;=参数配置!$C$14,"全仓清仓",IF(H76&gt;C76,"卖出超额","正常定投")),"")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IFERROR(IF(F77&gt;=参数配置!$C$14,-H77,C77-H77),"")</f>
        <v/>
      </c>
      <c r="J77" s="29">
        <f>IFERROR(IF(F77&gt;=参数配置!$C$14,"全仓清仓",IF(H77&gt;C77,"卖出超额","正常定投")),"")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IFERROR(IF(F78&gt;=参数配置!$C$14,-H78,C78-H78),"")</f>
        <v/>
      </c>
      <c r="J78" s="29">
        <f>IFERROR(IF(F78&gt;=参数配置!$C$14,"全仓清仓",IF(H78&gt;C78,"卖出超额","正常定投")),"")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IFERROR(IF(F79&gt;=参数配置!$C$14,-H79,C79-H79),"")</f>
        <v/>
      </c>
      <c r="J79" s="29">
        <f>IFERROR(IF(F79&gt;=参数配置!$C$14,"全仓清仓",IF(H79&gt;C79,"卖出超额","正常定投")),"")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IFERROR(IF(F80&gt;=参数配置!$C$14,-H80,C80-H80),"")</f>
        <v/>
      </c>
      <c r="J80" s="29">
        <f>IFERROR(IF(F80&gt;=参数配置!$C$14,"全仓清仓",IF(H80&gt;C80,"卖出超额","正常定投")),"")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IFERROR(IF(F81&gt;=参数配置!$C$14,-H81,C81-H81),"")</f>
        <v/>
      </c>
      <c r="J81" s="29">
        <f>IFERROR(IF(F81&gt;=参数配置!$C$14,"全仓清仓",IF(H81&gt;C81,"卖出超额","正常定投")),"")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IFERROR(IF(F82&gt;=参数配置!$C$14,-H82,C82-H82),"")</f>
        <v/>
      </c>
      <c r="J82" s="29">
        <f>IFERROR(IF(F82&gt;=参数配置!$C$14,"全仓清仓",IF(H82&gt;C82,"卖出超额","正常定投")),"")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IFERROR(IF(F83&gt;=参数配置!$C$14,-H83,C83-H83),"")</f>
        <v/>
      </c>
      <c r="J83" s="29">
        <f>IFERROR(IF(F83&gt;=参数配置!$C$14,"全仓清仓",IF(H83&gt;C83,"卖出超额","正常定投")),"")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IFERROR(IF(F84&gt;=参数配置!$C$14,-H84,C84-H84),"")</f>
        <v/>
      </c>
      <c r="J84" s="29">
        <f>IFERROR(IF(F84&gt;=参数配置!$C$14,"全仓清仓",IF(H84&gt;C84,"卖出超额","正常定投")),"")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IFERROR(IF(F85&gt;=参数配置!$C$14,-H85,C85-H85),"")</f>
        <v/>
      </c>
      <c r="J85" s="29">
        <f>IFERROR(IF(F85&gt;=参数配置!$C$14,"全仓清仓",IF(H85&gt;C85,"卖出超额","正常定投")),"")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IFERROR(IF(F86&gt;=参数配置!$C$14,-H86,C86-H86),"")</f>
        <v/>
      </c>
      <c r="J86" s="29">
        <f>IFERROR(IF(F86&gt;=参数配置!$C$14,"全仓清仓",IF(H86&gt;C86,"卖出超额","正常定投")),"")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IFERROR(IF(F87&gt;=参数配置!$C$14,-H87,C87-H87),"")</f>
        <v/>
      </c>
      <c r="J87" s="29">
        <f>IFERROR(IF(F87&gt;=参数配置!$C$14,"全仓清仓",IF(H87&gt;C87,"卖出超额","正常定投")),"")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IFERROR(IF(F88&gt;=参数配置!$C$14,-H88,C88-H88),"")</f>
        <v/>
      </c>
      <c r="J88" s="29">
        <f>IFERROR(IF(F88&gt;=参数配置!$C$14,"全仓清仓",IF(H88&gt;C88,"卖出超额","正常定投")),"")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IFERROR(IF(F89&gt;=参数配置!$C$14,-H89,C89-H89),"")</f>
        <v/>
      </c>
      <c r="J89" s="29">
        <f>IFERROR(IF(F89&gt;=参数配置!$C$14,"全仓清仓",IF(H89&gt;C89,"卖出超额","正常定投")),"")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IFERROR(IF(F90&gt;=参数配置!$C$14,-H90,C90-H90),"")</f>
        <v/>
      </c>
      <c r="J90" s="29">
        <f>IFERROR(IF(F90&gt;=参数配置!$C$14,"全仓清仓",IF(H90&gt;C90,"卖出超额","正常定投")),"")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IFERROR(IF(F91&gt;=参数配置!$C$14,-H91,C91-H91),"")</f>
        <v/>
      </c>
      <c r="J91" s="29">
        <f>IFERROR(IF(F91&gt;=参数配置!$C$14,"全仓清仓",IF(H91&gt;C91,"卖出超额","正常定投")),"")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IFERROR(IF(F92&gt;=参数配置!$C$14,-H92,C92-H92),"")</f>
        <v/>
      </c>
      <c r="J92" s="29">
        <f>IFERROR(IF(F92&gt;=参数配置!$C$14,"全仓清仓",IF(H92&gt;C92,"卖出超额","正常定投")),"")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IFERROR(IF(F93&gt;=参数配置!$C$14,-H93,C93-H93),"")</f>
        <v/>
      </c>
      <c r="J93" s="29">
        <f>IFERROR(IF(F93&gt;=参数配置!$C$14,"全仓清仓",IF(H93&gt;C93,"卖出超额","正常定投")),"")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IFERROR(IF(F94&gt;=参数配置!$C$14,-H94,C94-H94),"")</f>
        <v/>
      </c>
      <c r="J94" s="29">
        <f>IFERROR(IF(F94&gt;=参数配置!$C$14,"全仓清仓",IF(H94&gt;C94,"卖出超额","正常定投")),"")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IFERROR(IF(F95&gt;=参数配置!$C$14,-H95,C95-H95),"")</f>
        <v/>
      </c>
      <c r="J95" s="29">
        <f>IFERROR(IF(F95&gt;=参数配置!$C$14,"全仓清仓",IF(H95&gt;C95,"卖出超额","正常定投")),"")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IFERROR(IF(F96&gt;=参数配置!$C$14,-H96,C96-H96),"")</f>
        <v/>
      </c>
      <c r="J96" s="29">
        <f>IFERROR(IF(F96&gt;=参数配置!$C$14,"全仓清仓",IF(H96&gt;C96,"卖出超额","正常定投")),"")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IFERROR(IF(F97&gt;=参数配置!$C$14,-H97,C97-H97),"")</f>
        <v/>
      </c>
      <c r="J97" s="29">
        <f>IFERROR(IF(F97&gt;=参数配置!$C$14,"全仓清仓",IF(H97&gt;C97,"卖出超额","正常定投")),"")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IFERROR(IF(F98&gt;=参数配置!$C$14,-H98,C98-H98),"")</f>
        <v/>
      </c>
      <c r="J98" s="29">
        <f>IFERROR(IF(F98&gt;=参数配置!$C$14,"全仓清仓",IF(H98&gt;C98,"卖出超额","正常定投")),"")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IFERROR(IF(F99&gt;=参数配置!$C$14,-H99,C99-H99),"")</f>
        <v/>
      </c>
      <c r="J99" s="29">
        <f>IFERROR(IF(F99&gt;=参数配置!$C$14,"全仓清仓",IF(H99&gt;C99,"卖出超额","正常定投")),"")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IFERROR(IF(F100&gt;=参数配置!$C$14,-H100,C100-H100),"")</f>
        <v/>
      </c>
      <c r="J100" s="29">
        <f>IFERROR(IF(F100&gt;=参数配置!$C$14,"全仓清仓",IF(H100&gt;C100,"卖出超额","正常定投")),"")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IFERROR(IF(F101&gt;=参数配置!$C$14,-H101,C101-H101),"")</f>
        <v/>
      </c>
      <c r="J101" s="29">
        <f>IFERROR(IF(F101&gt;=参数配置!$C$14,"全仓清仓",IF(H101&gt;C101,"卖出超额","正常定投")),"")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IFERROR(IF(F102&gt;=参数配置!$C$14,-H102,C102-H102),"")</f>
        <v/>
      </c>
      <c r="J102" s="29">
        <f>IFERROR(IF(F102&gt;=参数配置!$C$14,"全仓清仓",IF(H102&gt;C102,"卖出超额","正常定投")),"")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IFERROR(IF(F103&gt;=参数配置!$C$14,-H103,C103-H103),"")</f>
        <v/>
      </c>
      <c r="J103" s="29">
        <f>IFERROR(IF(F103&gt;=参数配置!$C$14,"全仓清仓",IF(H103&gt;C103,"卖出超额","正常定投")),"")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IFERROR(IF(F104&gt;=参数配置!$C$14,-H104,C104-H104),"")</f>
        <v/>
      </c>
      <c r="J104" s="29">
        <f>IFERROR(IF(F104&gt;=参数配置!$C$14,"全仓清仓",IF(H104&gt;C104,"卖出超额","正常定投")),"")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IFERROR(参数配置!$C$8*(B5-$S$3),"")</f>
        <v/>
      </c>
      <c r="D5" s="27" t="n">
        <v>1.904</v>
      </c>
      <c r="E5" s="27" t="n">
        <v>1.7458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IFERROR(IF(F5&gt;=参数配置!$C$15,-H5,C5-H5),"")</f>
        <v/>
      </c>
      <c r="J5" s="29">
        <f>IFERROR(IF(F5&gt;=参数配置!$C$15,"全仓清仓",IF(H5&gt;C5,"卖出超额","正常定投")),"")</f>
        <v/>
      </c>
      <c r="K5" s="30">
        <f>IFERROR(I5,"")</f>
        <v/>
      </c>
      <c r="L5" s="17" t="n">
        <v>2284.8</v>
      </c>
      <c r="M5" s="27" t="n">
        <v>1200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IFERROR(参数配置!$C$8*(B6-$S$3),"")</f>
        <v/>
      </c>
      <c r="D6" s="27" t="n">
        <v>2.046</v>
      </c>
      <c r="E6" s="27" t="n">
        <v>1.7612</v>
      </c>
      <c r="F6" s="28">
        <f>IFERROR((D6-E6)/E6,"")</f>
        <v/>
      </c>
      <c r="G6" s="27" t="n">
        <v>1200</v>
      </c>
      <c r="H6" s="7">
        <f>IFERROR(G6*D6,"")</f>
        <v/>
      </c>
      <c r="I6" s="7">
        <f>IFERROR(IF(F6&gt;=参数配置!$C$15,-H6,C6-H6),"")</f>
        <v/>
      </c>
      <c r="J6" s="29">
        <f>IFERROR(IF(F6&gt;=参数配置!$C$15,"全仓清仓",IF(H6&gt;C6,"卖出超额","正常定投")),"")</f>
        <v/>
      </c>
      <c r="K6" s="30">
        <f>IFERROR(I6,"")</f>
        <v/>
      </c>
      <c r="L6" s="17" t="n">
        <v>2250.6</v>
      </c>
      <c r="M6" s="27" t="n">
        <v>1100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IFERROR(参数配置!$C$8*(B7-$S$3),"")</f>
        <v/>
      </c>
      <c r="D7" s="27" t="n">
        <v>2.124</v>
      </c>
      <c r="E7" s="27" t="n">
        <v>1.7868</v>
      </c>
      <c r="F7" s="28">
        <f>IFERROR((D7-E7)/E7,"")</f>
        <v/>
      </c>
      <c r="G7" s="27" t="n">
        <v>2300</v>
      </c>
      <c r="H7" s="7">
        <f>IFERROR(G7*D7,"")</f>
        <v/>
      </c>
      <c r="I7" s="7">
        <f>IFERROR(IF(F7&gt;=参数配置!$C$15,-H7,C7-H7),"")</f>
        <v/>
      </c>
      <c r="J7" s="29">
        <f>IFERROR(IF(F7&gt;=参数配置!$C$15,"全仓清仓",IF(H7&gt;C7,"卖出超额","正常定投")),"")</f>
        <v/>
      </c>
      <c r="K7" s="30">
        <f>IFERROR(I7,"")</f>
        <v/>
      </c>
      <c r="L7" s="17" t="n">
        <v>2336.4</v>
      </c>
      <c r="M7" s="27" t="n">
        <v>1100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IFERROR(参数配置!$C$8*(B8-$S$3),"")</f>
        <v/>
      </c>
      <c r="D8" s="27" t="n">
        <v>2.214</v>
      </c>
      <c r="E8" s="27" t="n">
        <v>1.814727995872498</v>
      </c>
      <c r="F8" s="28">
        <f>IFERROR((D8-E8)/E8,"")</f>
        <v/>
      </c>
      <c r="G8" s="27" t="n">
        <v>3400</v>
      </c>
      <c r="H8" s="7">
        <f>IFERROR(G8*D8,"")</f>
        <v/>
      </c>
      <c r="I8" s="7">
        <f>IFERROR(IF(F8&gt;=参数配置!$C$15,-H8,C8-H8),"")</f>
        <v/>
      </c>
      <c r="J8" s="29">
        <f>IFERROR(IF(F8&gt;=参数配置!$C$15,"全仓清仓",IF(H8&gt;C8,"卖出超额","正常定投")),"")</f>
        <v/>
      </c>
      <c r="K8" s="30">
        <f>IFERROR(I8,"")</f>
        <v/>
      </c>
      <c r="L8" s="17" t="n">
        <v>2214</v>
      </c>
      <c r="M8" s="27" t="n">
        <v>1000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IFERROR(参数配置!$C$8*(B9-$S$3),"")</f>
        <v/>
      </c>
      <c r="D9" s="27" t="n">
        <v>2.214</v>
      </c>
      <c r="E9" s="27" t="n">
        <v>1.814727995872498</v>
      </c>
      <c r="F9" s="28">
        <f>IFERROR((D9-E9)/E9,"")</f>
        <v/>
      </c>
      <c r="G9" s="27" t="n">
        <v>4400</v>
      </c>
      <c r="H9" s="7">
        <f>IFERROR(G9*D9,"")</f>
        <v/>
      </c>
      <c r="I9" s="7">
        <f>IFERROR(IF(F9&gt;=参数配置!$C$15,-H9,C9-H9),"")</f>
        <v/>
      </c>
      <c r="J9" s="29">
        <f>IFERROR(IF(F9&gt;=参数配置!$C$15,"全仓清仓",IF(H9&gt;C9,"卖出超额","正常定投")),"")</f>
        <v/>
      </c>
      <c r="K9" s="30">
        <f>IFERROR(I9,"")</f>
        <v/>
      </c>
      <c r="L9" s="17" t="n">
        <v>0</v>
      </c>
      <c r="M9" s="27" t="n">
        <v>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inlineStr">
        <is>
          <t>停牌，本期暂停操作，目标市值照常增长</t>
        </is>
      </c>
    </row>
    <row r="10">
      <c r="A10" s="33" t="inlineStr">
        <is>
          <t>2026-07-03</t>
        </is>
      </c>
      <c r="B10" s="15" t="n">
        <v>6</v>
      </c>
      <c r="C10" s="7">
        <f>IFERROR(参数配置!$C$8*(B10-$S$3),"")</f>
        <v/>
      </c>
      <c r="D10" s="27" t="n">
        <v>2.149</v>
      </c>
      <c r="E10" s="27" t="n">
        <v>1.814727995872498</v>
      </c>
      <c r="F10" s="28">
        <f>IFERROR((D10-E10)/E10,"")</f>
        <v/>
      </c>
      <c r="G10" s="27" t="n">
        <v>4400</v>
      </c>
      <c r="H10" s="7">
        <f>IFERROR(G10*D10,"")</f>
        <v/>
      </c>
      <c r="I10" s="7">
        <f>IFERROR(IF(F10&gt;=参数配置!$C$15,-H10,C10-H10),"")</f>
        <v/>
      </c>
      <c r="J10" s="29">
        <f>IFERROR(IF(F10&gt;=参数配置!$C$15,"全仓清仓",IF(H10&gt;C10,"卖出超额","正常定投")),"")</f>
        <v/>
      </c>
      <c r="K10" s="30">
        <f>IFERROR(I10,"")</f>
        <v/>
      </c>
      <c r="L10" s="17" t="n">
        <v>4727.8</v>
      </c>
      <c r="M10" s="27" t="n">
        <v>2200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IFERROR(IF(F11&gt;=参数配置!$C$15,-H11,C11-H11),"")</f>
        <v/>
      </c>
      <c r="J11" s="29">
        <f>IFERROR(IF(F11&gt;=参数配置!$C$15,"全仓清仓",IF(H11&gt;C11,"卖出超额","正常定投")),"")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IFERROR(IF(F12&gt;=参数配置!$C$15,-H12,C12-H12),"")</f>
        <v/>
      </c>
      <c r="J12" s="29">
        <f>IFERROR(IF(F12&gt;=参数配置!$C$15,"全仓清仓",IF(H12&gt;C12,"卖出超额","正常定投")),"")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IFERROR(IF(F13&gt;=参数配置!$C$15,-H13,C13-H13),"")</f>
        <v/>
      </c>
      <c r="J13" s="29">
        <f>IFERROR(IF(F13&gt;=参数配置!$C$15,"全仓清仓",IF(H13&gt;C13,"卖出超额","正常定投")),"")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IFERROR(IF(F14&gt;=参数配置!$C$15,-H14,C14-H14),"")</f>
        <v/>
      </c>
      <c r="J14" s="29">
        <f>IFERROR(IF(F14&gt;=参数配置!$C$15,"全仓清仓",IF(H14&gt;C14,"卖出超额","正常定投")),"")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IFERROR(IF(F15&gt;=参数配置!$C$15,-H15,C15-H15),"")</f>
        <v/>
      </c>
      <c r="J15" s="29">
        <f>IFERROR(IF(F15&gt;=参数配置!$C$15,"全仓清仓",IF(H15&gt;C15,"卖出超额","正常定投")),"")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IFERROR(IF(F16&gt;=参数配置!$C$15,-H16,C16-H16),"")</f>
        <v/>
      </c>
      <c r="J16" s="29">
        <f>IFERROR(IF(F16&gt;=参数配置!$C$15,"全仓清仓",IF(H16&gt;C16,"卖出超额","正常定投")),"")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IFERROR(IF(F17&gt;=参数配置!$C$15,-H17,C17-H17),"")</f>
        <v/>
      </c>
      <c r="J17" s="29">
        <f>IFERROR(IF(F17&gt;=参数配置!$C$15,"全仓清仓",IF(H17&gt;C17,"卖出超额","正常定投")),"")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IFERROR(IF(F18&gt;=参数配置!$C$15,-H18,C18-H18),"")</f>
        <v/>
      </c>
      <c r="J18" s="29">
        <f>IFERROR(IF(F18&gt;=参数配置!$C$15,"全仓清仓",IF(H18&gt;C18,"卖出超额","正常定投")),"")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IFERROR(IF(F19&gt;=参数配置!$C$15,-H19,C19-H19),"")</f>
        <v/>
      </c>
      <c r="J19" s="29">
        <f>IFERROR(IF(F19&gt;=参数配置!$C$15,"全仓清仓",IF(H19&gt;C19,"卖出超额","正常定投")),"")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IFERROR(IF(F20&gt;=参数配置!$C$15,-H20,C20-H20),"")</f>
        <v/>
      </c>
      <c r="J20" s="29">
        <f>IFERROR(IF(F20&gt;=参数配置!$C$15,"全仓清仓",IF(H20&gt;C20,"卖出超额","正常定投")),"")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IFERROR(IF(F21&gt;=参数配置!$C$15,-H21,C21-H21),"")</f>
        <v/>
      </c>
      <c r="J21" s="29">
        <f>IFERROR(IF(F21&gt;=参数配置!$C$15,"全仓清仓",IF(H21&gt;C21,"卖出超额","正常定投")),"")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IFERROR(IF(F22&gt;=参数配置!$C$15,-H22,C22-H22),"")</f>
        <v/>
      </c>
      <c r="J22" s="29">
        <f>IFERROR(IF(F22&gt;=参数配置!$C$15,"全仓清仓",IF(H22&gt;C22,"卖出超额","正常定投")),"")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IFERROR(IF(F23&gt;=参数配置!$C$15,-H23,C23-H23),"")</f>
        <v/>
      </c>
      <c r="J23" s="29">
        <f>IFERROR(IF(F23&gt;=参数配置!$C$15,"全仓清仓",IF(H23&gt;C23,"卖出超额","正常定投")),"")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IFERROR(IF(F24&gt;=参数配置!$C$15,-H24,C24-H24),"")</f>
        <v/>
      </c>
      <c r="J24" s="29">
        <f>IFERROR(IF(F24&gt;=参数配置!$C$15,"全仓清仓",IF(H24&gt;C24,"卖出超额","正常定投")),"")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IFERROR(IF(F25&gt;=参数配置!$C$15,-H25,C25-H25),"")</f>
        <v/>
      </c>
      <c r="J25" s="29">
        <f>IFERROR(IF(F25&gt;=参数配置!$C$15,"全仓清仓",IF(H25&gt;C25,"卖出超额","正常定投")),"")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IFERROR(IF(F26&gt;=参数配置!$C$15,-H26,C26-H26),"")</f>
        <v/>
      </c>
      <c r="J26" s="29">
        <f>IFERROR(IF(F26&gt;=参数配置!$C$15,"全仓清仓",IF(H26&gt;C26,"卖出超额","正常定投")),"")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IFERROR(IF(F27&gt;=参数配置!$C$15,-H27,C27-H27),"")</f>
        <v/>
      </c>
      <c r="J27" s="29">
        <f>IFERROR(IF(F27&gt;=参数配置!$C$15,"全仓清仓",IF(H27&gt;C27,"卖出超额","正常定投")),"")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IFERROR(IF(F28&gt;=参数配置!$C$15,-H28,C28-H28),"")</f>
        <v/>
      </c>
      <c r="J28" s="29">
        <f>IFERROR(IF(F28&gt;=参数配置!$C$15,"全仓清仓",IF(H28&gt;C28,"卖出超额","正常定投")),"")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IFERROR(IF(F29&gt;=参数配置!$C$15,-H29,C29-H29),"")</f>
        <v/>
      </c>
      <c r="J29" s="29">
        <f>IFERROR(IF(F29&gt;=参数配置!$C$15,"全仓清仓",IF(H29&gt;C29,"卖出超额","正常定投")),"")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IFERROR(IF(F30&gt;=参数配置!$C$15,-H30,C30-H30),"")</f>
        <v/>
      </c>
      <c r="J30" s="29">
        <f>IFERROR(IF(F30&gt;=参数配置!$C$15,"全仓清仓",IF(H30&gt;C30,"卖出超额","正常定投")),"")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IFERROR(IF(F31&gt;=参数配置!$C$15,-H31,C31-H31),"")</f>
        <v/>
      </c>
      <c r="J31" s="29">
        <f>IFERROR(IF(F31&gt;=参数配置!$C$15,"全仓清仓",IF(H31&gt;C31,"卖出超额","正常定投")),"")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IFERROR(IF(F32&gt;=参数配置!$C$15,-H32,C32-H32),"")</f>
        <v/>
      </c>
      <c r="J32" s="29">
        <f>IFERROR(IF(F32&gt;=参数配置!$C$15,"全仓清仓",IF(H32&gt;C32,"卖出超额","正常定投")),"")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IFERROR(IF(F33&gt;=参数配置!$C$15,-H33,C33-H33),"")</f>
        <v/>
      </c>
      <c r="J33" s="29">
        <f>IFERROR(IF(F33&gt;=参数配置!$C$15,"全仓清仓",IF(H33&gt;C33,"卖出超额","正常定投")),"")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IFERROR(IF(F34&gt;=参数配置!$C$15,-H34,C34-H34),"")</f>
        <v/>
      </c>
      <c r="J34" s="29">
        <f>IFERROR(IF(F34&gt;=参数配置!$C$15,"全仓清仓",IF(H34&gt;C34,"卖出超额","正常定投")),"")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IFERROR(IF(F35&gt;=参数配置!$C$15,-H35,C35-H35),"")</f>
        <v/>
      </c>
      <c r="J35" s="29">
        <f>IFERROR(IF(F35&gt;=参数配置!$C$15,"全仓清仓",IF(H35&gt;C35,"卖出超额","正常定投")),"")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IFERROR(IF(F36&gt;=参数配置!$C$15,-H36,C36-H36),"")</f>
        <v/>
      </c>
      <c r="J36" s="29">
        <f>IFERROR(IF(F36&gt;=参数配置!$C$15,"全仓清仓",IF(H36&gt;C36,"卖出超额","正常定投")),"")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IFERROR(IF(F37&gt;=参数配置!$C$15,-H37,C37-H37),"")</f>
        <v/>
      </c>
      <c r="J37" s="29">
        <f>IFERROR(IF(F37&gt;=参数配置!$C$15,"全仓清仓",IF(H37&gt;C37,"卖出超额","正常定投")),"")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IFERROR(IF(F38&gt;=参数配置!$C$15,-H38,C38-H38),"")</f>
        <v/>
      </c>
      <c r="J38" s="29">
        <f>IFERROR(IF(F38&gt;=参数配置!$C$15,"全仓清仓",IF(H38&gt;C38,"卖出超额","正常定投")),"")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IFERROR(IF(F39&gt;=参数配置!$C$15,-H39,C39-H39),"")</f>
        <v/>
      </c>
      <c r="J39" s="29">
        <f>IFERROR(IF(F39&gt;=参数配置!$C$15,"全仓清仓",IF(H39&gt;C39,"卖出超额","正常定投")),"")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IFERROR(IF(F40&gt;=参数配置!$C$15,-H40,C40-H40),"")</f>
        <v/>
      </c>
      <c r="J40" s="29">
        <f>IFERROR(IF(F40&gt;=参数配置!$C$15,"全仓清仓",IF(H40&gt;C40,"卖出超额","正常定投")),"")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IFERROR(IF(F41&gt;=参数配置!$C$15,-H41,C41-H41),"")</f>
        <v/>
      </c>
      <c r="J41" s="29">
        <f>IFERROR(IF(F41&gt;=参数配置!$C$15,"全仓清仓",IF(H41&gt;C41,"卖出超额","正常定投")),"")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IFERROR(IF(F42&gt;=参数配置!$C$15,-H42,C42-H42),"")</f>
        <v/>
      </c>
      <c r="J42" s="29">
        <f>IFERROR(IF(F42&gt;=参数配置!$C$15,"全仓清仓",IF(H42&gt;C42,"卖出超额","正常定投")),"")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IFERROR(IF(F43&gt;=参数配置!$C$15,-H43,C43-H43),"")</f>
        <v/>
      </c>
      <c r="J43" s="29">
        <f>IFERROR(IF(F43&gt;=参数配置!$C$15,"全仓清仓",IF(H43&gt;C43,"卖出超额","正常定投")),"")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IFERROR(IF(F44&gt;=参数配置!$C$15,-H44,C44-H44),"")</f>
        <v/>
      </c>
      <c r="J44" s="29">
        <f>IFERROR(IF(F44&gt;=参数配置!$C$15,"全仓清仓",IF(H44&gt;C44,"卖出超额","正常定投")),"")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IFERROR(IF(F45&gt;=参数配置!$C$15,-H45,C45-H45),"")</f>
        <v/>
      </c>
      <c r="J45" s="29">
        <f>IFERROR(IF(F45&gt;=参数配置!$C$15,"全仓清仓",IF(H45&gt;C45,"卖出超额","正常定投")),"")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IFERROR(IF(F46&gt;=参数配置!$C$15,-H46,C46-H46),"")</f>
        <v/>
      </c>
      <c r="J46" s="29">
        <f>IFERROR(IF(F46&gt;=参数配置!$C$15,"全仓清仓",IF(H46&gt;C46,"卖出超额","正常定投")),"")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IFERROR(IF(F47&gt;=参数配置!$C$15,-H47,C47-H47),"")</f>
        <v/>
      </c>
      <c r="J47" s="29">
        <f>IFERROR(IF(F47&gt;=参数配置!$C$15,"全仓清仓",IF(H47&gt;C47,"卖出超额","正常定投")),"")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IFERROR(IF(F48&gt;=参数配置!$C$15,-H48,C48-H48),"")</f>
        <v/>
      </c>
      <c r="J48" s="29">
        <f>IFERROR(IF(F48&gt;=参数配置!$C$15,"全仓清仓",IF(H48&gt;C48,"卖出超额","正常定投")),"")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IFERROR(IF(F49&gt;=参数配置!$C$15,-H49,C49-H49),"")</f>
        <v/>
      </c>
      <c r="J49" s="29">
        <f>IFERROR(IF(F49&gt;=参数配置!$C$15,"全仓清仓",IF(H49&gt;C49,"卖出超额","正常定投")),"")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IFERROR(IF(F50&gt;=参数配置!$C$15,-H50,C50-H50),"")</f>
        <v/>
      </c>
      <c r="J50" s="29">
        <f>IFERROR(IF(F50&gt;=参数配置!$C$15,"全仓清仓",IF(H50&gt;C50,"卖出超额","正常定投")),"")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IFERROR(IF(F51&gt;=参数配置!$C$15,-H51,C51-H51),"")</f>
        <v/>
      </c>
      <c r="J51" s="29">
        <f>IFERROR(IF(F51&gt;=参数配置!$C$15,"全仓清仓",IF(H51&gt;C51,"卖出超额","正常定投")),"")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IFERROR(IF(F52&gt;=参数配置!$C$15,-H52,C52-H52),"")</f>
        <v/>
      </c>
      <c r="J52" s="29">
        <f>IFERROR(IF(F52&gt;=参数配置!$C$15,"全仓清仓",IF(H52&gt;C52,"卖出超额","正常定投")),"")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IFERROR(IF(F53&gt;=参数配置!$C$15,-H53,C53-H53),"")</f>
        <v/>
      </c>
      <c r="J53" s="29">
        <f>IFERROR(IF(F53&gt;=参数配置!$C$15,"全仓清仓",IF(H53&gt;C53,"卖出超额","正常定投")),"")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IFERROR(IF(F54&gt;=参数配置!$C$15,-H54,C54-H54),"")</f>
        <v/>
      </c>
      <c r="J54" s="29">
        <f>IFERROR(IF(F54&gt;=参数配置!$C$15,"全仓清仓",IF(H54&gt;C54,"卖出超额","正常定投")),"")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IFERROR(IF(F55&gt;=参数配置!$C$15,-H55,C55-H55),"")</f>
        <v/>
      </c>
      <c r="J55" s="29">
        <f>IFERROR(IF(F55&gt;=参数配置!$C$15,"全仓清仓",IF(H55&gt;C55,"卖出超额","正常定投")),"")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IFERROR(IF(F56&gt;=参数配置!$C$15,-H56,C56-H56),"")</f>
        <v/>
      </c>
      <c r="J56" s="29">
        <f>IFERROR(IF(F56&gt;=参数配置!$C$15,"全仓清仓",IF(H56&gt;C56,"卖出超额","正常定投")),"")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IFERROR(IF(F57&gt;=参数配置!$C$15,-H57,C57-H57),"")</f>
        <v/>
      </c>
      <c r="J57" s="29">
        <f>IFERROR(IF(F57&gt;=参数配置!$C$15,"全仓清仓",IF(H57&gt;C57,"卖出超额","正常定投")),"")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IFERROR(IF(F58&gt;=参数配置!$C$15,-H58,C58-H58),"")</f>
        <v/>
      </c>
      <c r="J58" s="29">
        <f>IFERROR(IF(F58&gt;=参数配置!$C$15,"全仓清仓",IF(H58&gt;C58,"卖出超额","正常定投")),"")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IFERROR(IF(F59&gt;=参数配置!$C$15,-H59,C59-H59),"")</f>
        <v/>
      </c>
      <c r="J59" s="29">
        <f>IFERROR(IF(F59&gt;=参数配置!$C$15,"全仓清仓",IF(H59&gt;C59,"卖出超额","正常定投")),"")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IFERROR(IF(F60&gt;=参数配置!$C$15,-H60,C60-H60),"")</f>
        <v/>
      </c>
      <c r="J60" s="29">
        <f>IFERROR(IF(F60&gt;=参数配置!$C$15,"全仓清仓",IF(H60&gt;C60,"卖出超额","正常定投")),"")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IFERROR(IF(F61&gt;=参数配置!$C$15,-H61,C61-H61),"")</f>
        <v/>
      </c>
      <c r="J61" s="29">
        <f>IFERROR(IF(F61&gt;=参数配置!$C$15,"全仓清仓",IF(H61&gt;C61,"卖出超额","正常定投")),"")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IFERROR(IF(F62&gt;=参数配置!$C$15,-H62,C62-H62),"")</f>
        <v/>
      </c>
      <c r="J62" s="29">
        <f>IFERROR(IF(F62&gt;=参数配置!$C$15,"全仓清仓",IF(H62&gt;C62,"卖出超额","正常定投")),"")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IFERROR(IF(F63&gt;=参数配置!$C$15,-H63,C63-H63),"")</f>
        <v/>
      </c>
      <c r="J63" s="29">
        <f>IFERROR(IF(F63&gt;=参数配置!$C$15,"全仓清仓",IF(H63&gt;C63,"卖出超额","正常定投")),"")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IFERROR(IF(F64&gt;=参数配置!$C$15,-H64,C64-H64),"")</f>
        <v/>
      </c>
      <c r="J64" s="29">
        <f>IFERROR(IF(F64&gt;=参数配置!$C$15,"全仓清仓",IF(H64&gt;C64,"卖出超额","正常定投")),"")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IFERROR(IF(F65&gt;=参数配置!$C$15,-H65,C65-H65),"")</f>
        <v/>
      </c>
      <c r="J65" s="29">
        <f>IFERROR(IF(F65&gt;=参数配置!$C$15,"全仓清仓",IF(H65&gt;C65,"卖出超额","正常定投")),"")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IFERROR(IF(F66&gt;=参数配置!$C$15,-H66,C66-H66),"")</f>
        <v/>
      </c>
      <c r="J66" s="29">
        <f>IFERROR(IF(F66&gt;=参数配置!$C$15,"全仓清仓",IF(H66&gt;C66,"卖出超额","正常定投")),"")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IFERROR(IF(F67&gt;=参数配置!$C$15,-H67,C67-H67),"")</f>
        <v/>
      </c>
      <c r="J67" s="29">
        <f>IFERROR(IF(F67&gt;=参数配置!$C$15,"全仓清仓",IF(H67&gt;C67,"卖出超额","正常定投")),"")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IFERROR(IF(F68&gt;=参数配置!$C$15,-H68,C68-H68),"")</f>
        <v/>
      </c>
      <c r="J68" s="29">
        <f>IFERROR(IF(F68&gt;=参数配置!$C$15,"全仓清仓",IF(H68&gt;C68,"卖出超额","正常定投")),"")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IFERROR(IF(F69&gt;=参数配置!$C$15,-H69,C69-H69),"")</f>
        <v/>
      </c>
      <c r="J69" s="29">
        <f>IFERROR(IF(F69&gt;=参数配置!$C$15,"全仓清仓",IF(H69&gt;C69,"卖出超额","正常定投")),"")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IFERROR(IF(F70&gt;=参数配置!$C$15,-H70,C70-H70),"")</f>
        <v/>
      </c>
      <c r="J70" s="29">
        <f>IFERROR(IF(F70&gt;=参数配置!$C$15,"全仓清仓",IF(H70&gt;C70,"卖出超额","正常定投")),"")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IFERROR(IF(F71&gt;=参数配置!$C$15,-H71,C71-H71),"")</f>
        <v/>
      </c>
      <c r="J71" s="29">
        <f>IFERROR(IF(F71&gt;=参数配置!$C$15,"全仓清仓",IF(H71&gt;C71,"卖出超额","正常定投")),"")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IFERROR(IF(F72&gt;=参数配置!$C$15,-H72,C72-H72),"")</f>
        <v/>
      </c>
      <c r="J72" s="29">
        <f>IFERROR(IF(F72&gt;=参数配置!$C$15,"全仓清仓",IF(H72&gt;C72,"卖出超额","正常定投")),"")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IFERROR(IF(F73&gt;=参数配置!$C$15,-H73,C73-H73),"")</f>
        <v/>
      </c>
      <c r="J73" s="29">
        <f>IFERROR(IF(F73&gt;=参数配置!$C$15,"全仓清仓",IF(H73&gt;C73,"卖出超额","正常定投")),"")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IFERROR(IF(F74&gt;=参数配置!$C$15,-H74,C74-H74),"")</f>
        <v/>
      </c>
      <c r="J74" s="29">
        <f>IFERROR(IF(F74&gt;=参数配置!$C$15,"全仓清仓",IF(H74&gt;C74,"卖出超额","正常定投")),"")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IFERROR(IF(F75&gt;=参数配置!$C$15,-H75,C75-H75),"")</f>
        <v/>
      </c>
      <c r="J75" s="29">
        <f>IFERROR(IF(F75&gt;=参数配置!$C$15,"全仓清仓",IF(H75&gt;C75,"卖出超额","正常定投")),"")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IFERROR(IF(F76&gt;=参数配置!$C$15,-H76,C76-H76),"")</f>
        <v/>
      </c>
      <c r="J76" s="29">
        <f>IFERROR(IF(F76&gt;=参数配置!$C$15,"全仓清仓",IF(H76&gt;C76,"卖出超额","正常定投")),"")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IFERROR(IF(F77&gt;=参数配置!$C$15,-H77,C77-H77),"")</f>
        <v/>
      </c>
      <c r="J77" s="29">
        <f>IFERROR(IF(F77&gt;=参数配置!$C$15,"全仓清仓",IF(H77&gt;C77,"卖出超额","正常定投")),"")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IFERROR(IF(F78&gt;=参数配置!$C$15,-H78,C78-H78),"")</f>
        <v/>
      </c>
      <c r="J78" s="29">
        <f>IFERROR(IF(F78&gt;=参数配置!$C$15,"全仓清仓",IF(H78&gt;C78,"卖出超额","正常定投")),"")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IFERROR(IF(F79&gt;=参数配置!$C$15,-H79,C79-H79),"")</f>
        <v/>
      </c>
      <c r="J79" s="29">
        <f>IFERROR(IF(F79&gt;=参数配置!$C$15,"全仓清仓",IF(H79&gt;C79,"卖出超额","正常定投")),"")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IFERROR(IF(F80&gt;=参数配置!$C$15,-H80,C80-H80),"")</f>
        <v/>
      </c>
      <c r="J80" s="29">
        <f>IFERROR(IF(F80&gt;=参数配置!$C$15,"全仓清仓",IF(H80&gt;C80,"卖出超额","正常定投")),"")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IFERROR(IF(F81&gt;=参数配置!$C$15,-H81,C81-H81),"")</f>
        <v/>
      </c>
      <c r="J81" s="29">
        <f>IFERROR(IF(F81&gt;=参数配置!$C$15,"全仓清仓",IF(H81&gt;C81,"卖出超额","正常定投")),"")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IFERROR(IF(F82&gt;=参数配置!$C$15,-H82,C82-H82),"")</f>
        <v/>
      </c>
      <c r="J82" s="29">
        <f>IFERROR(IF(F82&gt;=参数配置!$C$15,"全仓清仓",IF(H82&gt;C82,"卖出超额","正常定投")),"")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IFERROR(IF(F83&gt;=参数配置!$C$15,-H83,C83-H83),"")</f>
        <v/>
      </c>
      <c r="J83" s="29">
        <f>IFERROR(IF(F83&gt;=参数配置!$C$15,"全仓清仓",IF(H83&gt;C83,"卖出超额","正常定投")),"")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IFERROR(IF(F84&gt;=参数配置!$C$15,-H84,C84-H84),"")</f>
        <v/>
      </c>
      <c r="J84" s="29">
        <f>IFERROR(IF(F84&gt;=参数配置!$C$15,"全仓清仓",IF(H84&gt;C84,"卖出超额","正常定投")),"")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IFERROR(IF(F85&gt;=参数配置!$C$15,-H85,C85-H85),"")</f>
        <v/>
      </c>
      <c r="J85" s="29">
        <f>IFERROR(IF(F85&gt;=参数配置!$C$15,"全仓清仓",IF(H85&gt;C85,"卖出超额","正常定投")),"")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IFERROR(IF(F86&gt;=参数配置!$C$15,-H86,C86-H86),"")</f>
        <v/>
      </c>
      <c r="J86" s="29">
        <f>IFERROR(IF(F86&gt;=参数配置!$C$15,"全仓清仓",IF(H86&gt;C86,"卖出超额","正常定投")),"")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IFERROR(IF(F87&gt;=参数配置!$C$15,-H87,C87-H87),"")</f>
        <v/>
      </c>
      <c r="J87" s="29">
        <f>IFERROR(IF(F87&gt;=参数配置!$C$15,"全仓清仓",IF(H87&gt;C87,"卖出超额","正常定投")),"")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IFERROR(IF(F88&gt;=参数配置!$C$15,-H88,C88-H88),"")</f>
        <v/>
      </c>
      <c r="J88" s="29">
        <f>IFERROR(IF(F88&gt;=参数配置!$C$15,"全仓清仓",IF(H88&gt;C88,"卖出超额","正常定投")),"")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IFERROR(IF(F89&gt;=参数配置!$C$15,-H89,C89-H89),"")</f>
        <v/>
      </c>
      <c r="J89" s="29">
        <f>IFERROR(IF(F89&gt;=参数配置!$C$15,"全仓清仓",IF(H89&gt;C89,"卖出超额","正常定投")),"")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IFERROR(IF(F90&gt;=参数配置!$C$15,-H90,C90-H90),"")</f>
        <v/>
      </c>
      <c r="J90" s="29">
        <f>IFERROR(IF(F90&gt;=参数配置!$C$15,"全仓清仓",IF(H90&gt;C90,"卖出超额","正常定投")),"")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IFERROR(IF(F91&gt;=参数配置!$C$15,-H91,C91-H91),"")</f>
        <v/>
      </c>
      <c r="J91" s="29">
        <f>IFERROR(IF(F91&gt;=参数配置!$C$15,"全仓清仓",IF(H91&gt;C91,"卖出超额","正常定投")),"")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IFERROR(IF(F92&gt;=参数配置!$C$15,-H92,C92-H92),"")</f>
        <v/>
      </c>
      <c r="J92" s="29">
        <f>IFERROR(IF(F92&gt;=参数配置!$C$15,"全仓清仓",IF(H92&gt;C92,"卖出超额","正常定投")),"")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IFERROR(IF(F93&gt;=参数配置!$C$15,-H93,C93-H93),"")</f>
        <v/>
      </c>
      <c r="J93" s="29">
        <f>IFERROR(IF(F93&gt;=参数配置!$C$15,"全仓清仓",IF(H93&gt;C93,"卖出超额","正常定投")),"")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IFERROR(IF(F94&gt;=参数配置!$C$15,-H94,C94-H94),"")</f>
        <v/>
      </c>
      <c r="J94" s="29">
        <f>IFERROR(IF(F94&gt;=参数配置!$C$15,"全仓清仓",IF(H94&gt;C94,"卖出超额","正常定投")),"")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IFERROR(IF(F95&gt;=参数配置!$C$15,-H95,C95-H95),"")</f>
        <v/>
      </c>
      <c r="J95" s="29">
        <f>IFERROR(IF(F95&gt;=参数配置!$C$15,"全仓清仓",IF(H95&gt;C95,"卖出超额","正常定投")),"")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IFERROR(IF(F96&gt;=参数配置!$C$15,-H96,C96-H96),"")</f>
        <v/>
      </c>
      <c r="J96" s="29">
        <f>IFERROR(IF(F96&gt;=参数配置!$C$15,"全仓清仓",IF(H96&gt;C96,"卖出超额","正常定投")),"")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IFERROR(IF(F97&gt;=参数配置!$C$15,-H97,C97-H97),"")</f>
        <v/>
      </c>
      <c r="J97" s="29">
        <f>IFERROR(IF(F97&gt;=参数配置!$C$15,"全仓清仓",IF(H97&gt;C97,"卖出超额","正常定投")),"")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IFERROR(IF(F98&gt;=参数配置!$C$15,-H98,C98-H98),"")</f>
        <v/>
      </c>
      <c r="J98" s="29">
        <f>IFERROR(IF(F98&gt;=参数配置!$C$15,"全仓清仓",IF(H98&gt;C98,"卖出超额","正常定投")),"")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IFERROR(IF(F99&gt;=参数配置!$C$15,-H99,C99-H99),"")</f>
        <v/>
      </c>
      <c r="J99" s="29">
        <f>IFERROR(IF(F99&gt;=参数配置!$C$15,"全仓清仓",IF(H99&gt;C99,"卖出超额","正常定投")),"")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IFERROR(IF(F100&gt;=参数配置!$C$15,-H100,C100-H100),"")</f>
        <v/>
      </c>
      <c r="J100" s="29">
        <f>IFERROR(IF(F100&gt;=参数配置!$C$15,"全仓清仓",IF(H100&gt;C100,"卖出超额","正常定投")),"")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IFERROR(IF(F101&gt;=参数配置!$C$15,-H101,C101-H101),"")</f>
        <v/>
      </c>
      <c r="J101" s="29">
        <f>IFERROR(IF(F101&gt;=参数配置!$C$15,"全仓清仓",IF(H101&gt;C101,"卖出超额","正常定投")),"")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IFERROR(IF(F102&gt;=参数配置!$C$15,-H102,C102-H102),"")</f>
        <v/>
      </c>
      <c r="J102" s="29">
        <f>IFERROR(IF(F102&gt;=参数配置!$C$15,"全仓清仓",IF(H102&gt;C102,"卖出超额","正常定投")),"")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IFERROR(IF(F103&gt;=参数配置!$C$15,-H103,C103-H103),"")</f>
        <v/>
      </c>
      <c r="J103" s="29">
        <f>IFERROR(IF(F103&gt;=参数配置!$C$15,"全仓清仓",IF(H103&gt;C103,"卖出超额","正常定投")),"")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IFERROR(IF(F104&gt;=参数配置!$C$15,-H104,C104-H104),"")</f>
        <v/>
      </c>
      <c r="J104" s="29">
        <f>IFERROR(IF(F104&gt;=参数配置!$C$15,"全仓清仓",IF(H104&gt;C104,"卖出超额","正常定投")),"")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2026-05-06T03:54:07Z</dcterms:created>
  <dcterms:modified xsi:type="dcterms:W3CDTF">2026-07-03T02:32:21Z</dcterms:modified>
</cp:coreProperties>
</file>