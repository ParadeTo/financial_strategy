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>
        <v>2</v>
      </c>
      <c r="B6" s="33" t="inlineStr">
        <is>
          <t>2026-05-08</t>
        </is>
      </c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>
        <v>0</v>
      </c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>
        <v>3</v>
      </c>
      <c r="B7" s="33" t="inlineStr">
        <is>
          <t>2026-05-22</t>
        </is>
      </c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>
        <v>0</v>
      </c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>
        <v>4</v>
      </c>
      <c r="B8" s="33" t="inlineStr">
        <is>
          <t>2026-06-05</t>
        </is>
      </c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>
        <v>0</v>
      </c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>
        <v>5</v>
      </c>
      <c r="B9" s="33" t="inlineStr">
        <is>
          <t>2026-06-18</t>
        </is>
      </c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>
        <v>0</v>
      </c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>
        <v>6</v>
      </c>
      <c r="B10" s="33" t="inlineStr">
        <is>
          <t>2026-07-03</t>
        </is>
      </c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>
        <v>0</v>
      </c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>
        <v>7</v>
      </c>
      <c r="B11" s="33" t="inlineStr">
        <is>
          <t>2026-07-17</t>
        </is>
      </c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>
        <v>0</v>
      </c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>
        <v>8</v>
      </c>
      <c r="B12" s="33" t="inlineStr">
        <is>
          <t>2026-07-31</t>
        </is>
      </c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>
        <v>0</v>
      </c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>
        <v>9</v>
      </c>
      <c r="B13" s="33" t="inlineStr">
        <is>
          <t>2026-08-14</t>
        </is>
      </c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>
        <v>0</v>
      </c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IFERROR(参数配置!$C$5*(B6-$S$3),"")</f>
        <v/>
      </c>
      <c r="D6" s="27" t="n">
        <v>4.893</v>
      </c>
      <c r="E6" s="27" t="n">
        <v>4.3754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>
        <v>1467.9</v>
      </c>
      <c r="M6" s="27" t="n">
        <v>300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IFERROR(参数配置!$C$5*(B7-$S$3),"")</f>
        <v/>
      </c>
      <c r="D7" s="27" t="n">
        <v>4.828</v>
      </c>
      <c r="E7" s="27" t="n">
        <v>4.4239</v>
      </c>
      <c r="F7" s="28">
        <f>IFERROR((D7-E7)/E7,"")</f>
        <v/>
      </c>
      <c r="G7" s="27" t="n">
        <v>600</v>
      </c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>
        <v>1448.4</v>
      </c>
      <c r="M7" s="27" t="n">
        <v>300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IFERROR(参数配置!$C$5*(B8-$S$3),"")</f>
        <v/>
      </c>
      <c r="D8" s="27" t="n">
        <v>4.91</v>
      </c>
      <c r="E8" s="27" t="n">
        <v>4.46819947052002</v>
      </c>
      <c r="F8" s="28">
        <f>IFERROR((D8-E8)/E8,"")</f>
        <v/>
      </c>
      <c r="G8" s="27" t="n">
        <v>900</v>
      </c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>
        <v>1473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IFERROR(参数配置!$C$5*(B9-$S$3),"")</f>
        <v/>
      </c>
      <c r="D9" s="27" t="n">
        <v>4.975</v>
      </c>
      <c r="E9" s="27" t="n">
        <v>4.46819947052002</v>
      </c>
      <c r="F9" s="28">
        <f>IFERROR((D9-E9)/E9,"")</f>
        <v/>
      </c>
      <c r="G9" s="27" t="n">
        <v>1200</v>
      </c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>
        <v>1492.5</v>
      </c>
      <c r="M9" s="27" t="n">
        <v>300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IFERROR(参数配置!$C$5*(B10-$S$3),"")</f>
        <v/>
      </c>
      <c r="D10" s="27" t="n">
        <v>4.852</v>
      </c>
      <c r="E10" s="27" t="n">
        <v>4.46819947052002</v>
      </c>
      <c r="F10" s="28">
        <f>IFERROR((D10-E10)/E10,"")</f>
        <v/>
      </c>
      <c r="G10" s="27" t="n">
        <v>1500</v>
      </c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>
        <v>1940.8</v>
      </c>
      <c r="M10" s="27" t="n">
        <v>400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IFERROR(参数配置!$C$5*(B11-$S$3),"")</f>
        <v/>
      </c>
      <c r="D11" s="27" t="n">
        <v>4.643</v>
      </c>
      <c r="E11" s="27" t="n">
        <v>4.598508</v>
      </c>
      <c r="F11" s="28">
        <f>IFERROR((D11-E11)/E11,"")</f>
        <v/>
      </c>
      <c r="G11" s="27" t="n">
        <v>1900</v>
      </c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>
        <v>1857.2</v>
      </c>
      <c r="M11" s="27" t="n">
        <v>400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IFERROR(参数配置!$C$5*(B12-$S$3),"")</f>
        <v/>
      </c>
      <c r="D12" s="27" t="n">
        <v>4.691</v>
      </c>
      <c r="E12" s="27" t="n">
        <v>4.6278</v>
      </c>
      <c r="F12" s="28">
        <f>IFERROR((D12-E12)/E12,"")</f>
        <v/>
      </c>
      <c r="G12" s="27" t="n">
        <v>2300</v>
      </c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>
        <v>1407.3</v>
      </c>
      <c r="M12" s="27" t="n">
        <v>300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inlineStr">
        <is>
          <t>2026-08-14</t>
        </is>
      </c>
      <c r="B13" s="15" t="n">
        <v>9</v>
      </c>
      <c r="C13" s="7">
        <f>IFERROR(参数配置!$C$5*(B13-$S$3),"")</f>
        <v/>
      </c>
      <c r="D13" s="27" t="n">
        <v>4.724</v>
      </c>
      <c r="E13" s="27" t="n">
        <v>4.6531</v>
      </c>
      <c r="F13" s="28">
        <f>IFERROR((D13-E13)/E13,"")</f>
        <v/>
      </c>
      <c r="G13" s="27" t="n">
        <v>2600</v>
      </c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>
        <v>944.8000000000001</v>
      </c>
      <c r="M13" s="27" t="n">
        <v>200</v>
      </c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IFERROR(参数配置!$C$6*(B6-$S$3),"")</f>
        <v/>
      </c>
      <c r="D6" s="27" t="n">
        <v>8.768000000000001</v>
      </c>
      <c r="E6" s="27" t="n">
        <v>7.1015</v>
      </c>
      <c r="F6" s="28">
        <f>IFERROR((D6-E6)/E6,"")</f>
        <v/>
      </c>
      <c r="G6" s="27" t="n">
        <v>100</v>
      </c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>
        <v>1753.6</v>
      </c>
      <c r="M6" s="27" t="n">
        <v>200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IFERROR(参数配置!$C$6*(B7-$S$3),"")</f>
        <v/>
      </c>
      <c r="D7" s="27" t="n">
        <v>8.576000000000001</v>
      </c>
      <c r="E7" s="27" t="n">
        <v>7.2287</v>
      </c>
      <c r="F7" s="28">
        <f>IFERROR((D7-E7)/E7,"")</f>
        <v/>
      </c>
      <c r="G7" s="27" t="n">
        <v>300</v>
      </c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>
        <v>1715.2</v>
      </c>
      <c r="M7" s="27" t="n">
        <v>200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IFERROR(参数配置!$C$6*(B8-$S$3),"")</f>
        <v/>
      </c>
      <c r="D8" s="27" t="n">
        <v>8.333</v>
      </c>
      <c r="E8" s="27" t="n">
        <v>7.342891065597534</v>
      </c>
      <c r="F8" s="28">
        <f>IFERROR((D8-E8)/E8,"")</f>
        <v/>
      </c>
      <c r="G8" s="27" t="n">
        <v>500</v>
      </c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>
        <v>2499.9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IFERROR(参数配置!$C$6*(B9-$S$3),"")</f>
        <v/>
      </c>
      <c r="D9" s="27" t="n">
        <v>8.797000000000001</v>
      </c>
      <c r="E9" s="27" t="n">
        <v>7.342891065597534</v>
      </c>
      <c r="F9" s="28">
        <f>IFERROR((D9-E9)/E9,"")</f>
        <v/>
      </c>
      <c r="G9" s="27" t="n">
        <v>800</v>
      </c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>
        <v>879.7</v>
      </c>
      <c r="M9" s="27" t="n">
        <v>100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IFERROR(参数配置!$C$6*(B10-$S$3),"")</f>
        <v/>
      </c>
      <c r="D10" s="27" t="n">
        <v>8.843999999999999</v>
      </c>
      <c r="E10" s="27" t="n">
        <v>7.342891065597534</v>
      </c>
      <c r="F10" s="28">
        <f>IFERROR((D10-E10)/E10,"")</f>
        <v/>
      </c>
      <c r="G10" s="27" t="n">
        <v>900</v>
      </c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>
        <v>884.4</v>
      </c>
      <c r="M10" s="27" t="n">
        <v>100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IFERROR(参数配置!$C$6*(B11-$S$3),"")</f>
        <v/>
      </c>
      <c r="D11" s="27" t="n">
        <v>7.728</v>
      </c>
      <c r="E11" s="27" t="n">
        <v>7.549152</v>
      </c>
      <c r="F11" s="28">
        <f>IFERROR((D11-E11)/E11,"")</f>
        <v/>
      </c>
      <c r="G11" s="27" t="n">
        <v>1000</v>
      </c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>
        <v>2318.4</v>
      </c>
      <c r="M11" s="27" t="n">
        <v>300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IFERROR(参数配置!$C$6*(B12-$S$3),"")</f>
        <v/>
      </c>
      <c r="D12" s="27" t="n">
        <v>7.63</v>
      </c>
      <c r="E12" s="27" t="n">
        <v>7.6165</v>
      </c>
      <c r="F12" s="28">
        <f>IFERROR((D12-E12)/E12,"")</f>
        <v/>
      </c>
      <c r="G12" s="27" t="n">
        <v>1300</v>
      </c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>
        <v>1526</v>
      </c>
      <c r="M12" s="27" t="n">
        <v>200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inlineStr">
        <is>
          <t>2026-08-14</t>
        </is>
      </c>
      <c r="B13" s="15" t="n">
        <v>9</v>
      </c>
      <c r="C13" s="7">
        <f>IFERROR(参数配置!$C$6*(B13-$S$3),"")</f>
        <v/>
      </c>
      <c r="D13" s="27" t="n">
        <v>7.99</v>
      </c>
      <c r="E13" s="27" t="n">
        <v>7.6852</v>
      </c>
      <c r="F13" s="28">
        <f>IFERROR((D13-E13)/E13,"")</f>
        <v/>
      </c>
      <c r="G13" s="27" t="n">
        <v>1500</v>
      </c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>
        <v>1598</v>
      </c>
      <c r="M13" s="27" t="n">
        <v>200</v>
      </c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IFERROR(参数配置!$C$7*(B6-$S$3),"")</f>
        <v/>
      </c>
      <c r="D6" s="27" t="n">
        <v>1.548</v>
      </c>
      <c r="E6" s="27" t="n">
        <v>1.5441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>
        <v>619.2</v>
      </c>
      <c r="M6" s="27" t="n">
        <v>400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IFERROR(参数配置!$C$7*(B7-$S$3),"")</f>
        <v/>
      </c>
      <c r="D7" s="27" t="n">
        <v>1.504</v>
      </c>
      <c r="E7" s="27" t="n">
        <v>1.5507</v>
      </c>
      <c r="F7" s="28">
        <f>IFERROR((D7-E7)/E7,"")</f>
        <v/>
      </c>
      <c r="G7" s="27" t="n">
        <v>700</v>
      </c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>
        <v>752</v>
      </c>
      <c r="M7" s="27" t="n">
        <v>500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IFERROR(参数配置!$C$7*(B8-$S$3),"")</f>
        <v/>
      </c>
      <c r="D8" s="27" t="n">
        <v>1.48</v>
      </c>
      <c r="E8" s="27" t="n">
        <v>1.553168001651764</v>
      </c>
      <c r="F8" s="28">
        <f>IFERROR((D8-E8)/E8,"")</f>
        <v/>
      </c>
      <c r="G8" s="27" t="n">
        <v>1200</v>
      </c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>
        <v>740</v>
      </c>
      <c r="M8" s="27" t="n">
        <v>500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IFERROR(参数配置!$C$7*(B9-$S$3),"")</f>
        <v/>
      </c>
      <c r="D9" s="27" t="n">
        <v>1.412</v>
      </c>
      <c r="E9" s="27" t="n">
        <v>1.553168001651764</v>
      </c>
      <c r="F9" s="28">
        <f>IFERROR((D9-E9)/E9,"")</f>
        <v/>
      </c>
      <c r="G9" s="27" t="n">
        <v>1700</v>
      </c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>
        <v>706</v>
      </c>
      <c r="M9" s="27" t="n">
        <v>500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IFERROR(参数配置!$C$7*(B10-$S$3),"")</f>
        <v/>
      </c>
      <c r="D10" s="27" t="n">
        <v>1.382</v>
      </c>
      <c r="E10" s="27" t="n">
        <v>1.553168001651764</v>
      </c>
      <c r="F10" s="28">
        <f>IFERROR((D10-E10)/E10,"")</f>
        <v/>
      </c>
      <c r="G10" s="27" t="n">
        <v>2200</v>
      </c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>
        <v>552.8</v>
      </c>
      <c r="M10" s="27" t="n">
        <v>400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IFERROR(参数配置!$C$7*(B11-$S$3),"")</f>
        <v/>
      </c>
      <c r="D11" s="27" t="n">
        <v>1.462</v>
      </c>
      <c r="E11" s="27" t="n">
        <v>1.548248</v>
      </c>
      <c r="F11" s="28">
        <f>IFERROR((D11-E11)/E11,"")</f>
        <v/>
      </c>
      <c r="G11" s="27" t="n">
        <v>2600</v>
      </c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>
        <v>438.6</v>
      </c>
      <c r="M11" s="27" t="n">
        <v>300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IFERROR(参数配置!$C$7*(B12-$S$3),"")</f>
        <v/>
      </c>
      <c r="D12" s="27" t="n">
        <v>1.523</v>
      </c>
      <c r="E12" s="27" t="n">
        <v>1.5482</v>
      </c>
      <c r="F12" s="28">
        <f>IFERROR((D12-E12)/E12,"")</f>
        <v/>
      </c>
      <c r="G12" s="27" t="n">
        <v>2900</v>
      </c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>
        <v>304.6</v>
      </c>
      <c r="M12" s="27" t="n">
        <v>200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inlineStr">
        <is>
          <t>2026-08-14</t>
        </is>
      </c>
      <c r="B13" s="15" t="n">
        <v>9</v>
      </c>
      <c r="C13" s="7">
        <f>IFERROR(参数配置!$C$7*(B13-$S$3),"")</f>
        <v/>
      </c>
      <c r="D13" s="27" t="n">
        <v>1.479</v>
      </c>
      <c r="E13" s="27" t="n">
        <v>1.5466</v>
      </c>
      <c r="F13" s="28">
        <f>IFERROR((D13-E13)/E13,"")</f>
        <v/>
      </c>
      <c r="G13" s="27" t="n">
        <v>3100</v>
      </c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>
        <v>739.5</v>
      </c>
      <c r="M13" s="27" t="n">
        <v>500</v>
      </c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IFERROR(参数配置!$C$8*(B6-$S$3),"")</f>
        <v/>
      </c>
      <c r="D6" s="27" t="n">
        <v>2.046</v>
      </c>
      <c r="E6" s="27" t="n">
        <v>1.7612</v>
      </c>
      <c r="F6" s="28">
        <f>IFERROR((D6-E6)/E6,"")</f>
        <v/>
      </c>
      <c r="G6" s="27" t="n">
        <v>1200</v>
      </c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>
        <v>2250.6</v>
      </c>
      <c r="M6" s="27" t="n">
        <v>1100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IFERROR(参数配置!$C$8*(B7-$S$3),"")</f>
        <v/>
      </c>
      <c r="D7" s="27" t="n">
        <v>2.124</v>
      </c>
      <c r="E7" s="27" t="n">
        <v>1.7868</v>
      </c>
      <c r="F7" s="28">
        <f>IFERROR((D7-E7)/E7,"")</f>
        <v/>
      </c>
      <c r="G7" s="27" t="n">
        <v>2300</v>
      </c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>
        <v>2336.4</v>
      </c>
      <c r="M7" s="27" t="n">
        <v>1100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IFERROR(参数配置!$C$8*(B8-$S$3),"")</f>
        <v/>
      </c>
      <c r="D8" s="27" t="n">
        <v>2.214</v>
      </c>
      <c r="E8" s="27" t="n">
        <v>1.814727995872498</v>
      </c>
      <c r="F8" s="28">
        <f>IFERROR((D8-E8)/E8,"")</f>
        <v/>
      </c>
      <c r="G8" s="27" t="n">
        <v>3400</v>
      </c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>
        <v>2214</v>
      </c>
      <c r="M8" s="27" t="n">
        <v>1000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IFERROR(参数配置!$C$8*(B9-$S$3),"")</f>
        <v/>
      </c>
      <c r="D9" s="27" t="n">
        <v>2.214</v>
      </c>
      <c r="E9" s="27" t="n">
        <v>1.814727995872498</v>
      </c>
      <c r="F9" s="28">
        <f>IFERROR((D9-E9)/E9,"")</f>
        <v/>
      </c>
      <c r="G9" s="27" t="n">
        <v>4400</v>
      </c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>
        <v>0</v>
      </c>
      <c r="M9" s="27" t="n">
        <v>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inlineStr">
        <is>
          <t>停牌，本期暂停操作，目标市值照常增长</t>
        </is>
      </c>
    </row>
    <row r="10">
      <c r="A10" s="33" t="inlineStr">
        <is>
          <t>2026-07-03</t>
        </is>
      </c>
      <c r="B10" s="15" t="n">
        <v>6</v>
      </c>
      <c r="C10" s="7">
        <f>IFERROR(参数配置!$C$8*(B10-$S$3),"")</f>
        <v/>
      </c>
      <c r="D10" s="27" t="n">
        <v>2.149</v>
      </c>
      <c r="E10" s="27" t="n">
        <v>1.814727995872498</v>
      </c>
      <c r="F10" s="28">
        <f>IFERROR((D10-E10)/E10,"")</f>
        <v/>
      </c>
      <c r="G10" s="27" t="n">
        <v>4400</v>
      </c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>
        <v>4727.8</v>
      </c>
      <c r="M10" s="27" t="n">
        <v>2200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IFERROR(参数配置!$C$8*(B11-$S$3),"")</f>
        <v/>
      </c>
      <c r="D11" s="27" t="n">
        <v>2.117</v>
      </c>
      <c r="E11" s="27" t="n">
        <v>1.890264</v>
      </c>
      <c r="F11" s="28">
        <f>IFERROR((D11-E11)/E11,"")</f>
        <v/>
      </c>
      <c r="G11" s="27" t="n">
        <v>6600</v>
      </c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>
        <v>2752.1</v>
      </c>
      <c r="M11" s="27" t="n">
        <v>1300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IFERROR(参数配置!$C$8*(B12-$S$3),"")</f>
        <v/>
      </c>
      <c r="D12" s="27" t="n">
        <v>2.117</v>
      </c>
      <c r="E12" s="27" t="n">
        <v>1.9067</v>
      </c>
      <c r="F12" s="28">
        <f>IFERROR((D12-E12)/E12,"")</f>
        <v/>
      </c>
      <c r="G12" s="27" t="n">
        <v>7900</v>
      </c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>
        <v>0</v>
      </c>
      <c r="M12" s="27" t="n">
        <v>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inlineStr">
        <is>
          <t>停牌，本期暂停操作，目标市值照常增长</t>
        </is>
      </c>
    </row>
    <row r="13">
      <c r="A13" s="33" t="inlineStr">
        <is>
          <t>2026-08-14</t>
        </is>
      </c>
      <c r="B13" s="15" t="n">
        <v>9</v>
      </c>
      <c r="C13" s="7">
        <f>IFERROR(参数配置!$C$8*(B13-$S$3),"")</f>
        <v/>
      </c>
      <c r="D13" s="27" t="n">
        <v>2.264</v>
      </c>
      <c r="E13" s="27" t="n">
        <v>1.9307</v>
      </c>
      <c r="F13" s="28">
        <f>IFERROR((D13-E13)/E13,"")</f>
        <v/>
      </c>
      <c r="G13" s="27" t="n">
        <v>7900</v>
      </c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>
        <v>3622.4</v>
      </c>
      <c r="M13" s="27" t="n">
        <v>1600</v>
      </c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2026-05-06T03:54:07Z</dcterms:created>
  <dcterms:modified xmlns:dcterms="http://purl.org/dc/terms/" xmlns:xsi="http://www.w3.org/2001/XMLSchema-instance" xsi:type="dcterms:W3CDTF">2026-08-14T06:45:24Z</dcterms:modified>
</cp:coreProperties>
</file>