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YYYY-MM-DD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MAX(0,参数配置!$C$26-IFERROR(LOOKUP(2,1/(每期汇总!L5:L1000&lt;&gt;""),每期汇总!L5:L1000),0))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/>
      <c r="B5" s="16" t="n"/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/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IFERROR(IF(L5&gt;=参数配置!$C$26,"增量阶段","存量阶段"),"")</f>
        <v/>
      </c>
    </row>
    <row r="6">
      <c r="A6" s="15" t="n"/>
      <c r="B6" s="16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IFERROR(IF(L6&gt;=参数配置!$C$26,"增量阶段","存量阶段"),"")</f>
        <v/>
      </c>
    </row>
    <row r="7">
      <c r="A7" s="15" t="n"/>
      <c r="B7" s="16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IFERROR(IF(L7&gt;=参数配置!$C$26,"增量阶段","存量阶段"),"")</f>
        <v/>
      </c>
    </row>
    <row r="8">
      <c r="A8" s="15" t="n"/>
      <c r="B8" s="16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IFERROR(IF(L8&gt;=参数配置!$C$26,"增量阶段","存量阶段"),"")</f>
        <v/>
      </c>
    </row>
    <row r="9">
      <c r="A9" s="15" t="n"/>
      <c r="B9" s="16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IFERROR(IF(L9&gt;=参数配置!$C$26,"增量阶段","存量阶段"),"")</f>
        <v/>
      </c>
    </row>
    <row r="10">
      <c r="A10" s="15" t="n"/>
      <c r="B10" s="16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IFERROR(IF(L10&gt;=参数配置!$C$26,"增量阶段","存量阶段"),"")</f>
        <v/>
      </c>
    </row>
    <row r="11">
      <c r="A11" s="15" t="n"/>
      <c r="B11" s="16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IFERROR(IF(L11&gt;=参数配置!$C$26,"增量阶段","存量阶段"),"")</f>
        <v/>
      </c>
    </row>
    <row r="12">
      <c r="A12" s="15" t="n"/>
      <c r="B12" s="16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IFERROR(IF(L12&gt;=参数配置!$C$26,"增量阶段","存量阶段"),"")</f>
        <v/>
      </c>
    </row>
    <row r="13">
      <c r="A13" s="15" t="n"/>
      <c r="B13" s="16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IFERROR(IF(L13&gt;=参数配置!$C$26,"增量阶段","存量阶段"),"")</f>
        <v/>
      </c>
    </row>
    <row r="14">
      <c r="A14" s="15" t="n"/>
      <c r="B14" s="16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IFERROR(IF(L14&gt;=参数配置!$C$26,"增量阶段","存量阶段"),"")</f>
        <v/>
      </c>
    </row>
    <row r="15">
      <c r="A15" s="15" t="n"/>
      <c r="B15" s="16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IFERROR(IF(L15&gt;=参数配置!$C$26,"增量阶段","存量阶段"),"")</f>
        <v/>
      </c>
    </row>
    <row r="16">
      <c r="A16" s="15" t="n"/>
      <c r="B16" s="16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IFERROR(IF(L16&gt;=参数配置!$C$26,"增量阶段","存量阶段"),"")</f>
        <v/>
      </c>
    </row>
    <row r="17">
      <c r="A17" s="15" t="n"/>
      <c r="B17" s="16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IFERROR(IF(L17&gt;=参数配置!$C$26,"增量阶段","存量阶段"),"")</f>
        <v/>
      </c>
    </row>
    <row r="18">
      <c r="A18" s="15" t="n"/>
      <c r="B18" s="16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IFERROR(IF(L18&gt;=参数配置!$C$26,"增量阶段","存量阶段"),"")</f>
        <v/>
      </c>
    </row>
    <row r="19">
      <c r="A19" s="15" t="n"/>
      <c r="B19" s="16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IFERROR(IF(L19&gt;=参数配置!$C$26,"增量阶段","存量阶段"),"")</f>
        <v/>
      </c>
    </row>
    <row r="20">
      <c r="A20" s="15" t="n"/>
      <c r="B20" s="16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IFERROR(IF(L20&gt;=参数配置!$C$26,"增量阶段","存量阶段"),"")</f>
        <v/>
      </c>
    </row>
    <row r="21">
      <c r="A21" s="15" t="n"/>
      <c r="B21" s="16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IFERROR(IF(L21&gt;=参数配置!$C$26,"增量阶段","存量阶段"),"")</f>
        <v/>
      </c>
    </row>
    <row r="22">
      <c r="A22" s="15" t="n"/>
      <c r="B22" s="16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IFERROR(IF(L22&gt;=参数配置!$C$26,"增量阶段","存量阶段"),"")</f>
        <v/>
      </c>
    </row>
    <row r="23">
      <c r="A23" s="15" t="n"/>
      <c r="B23" s="16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IFERROR(IF(L23&gt;=参数配置!$C$26,"增量阶段","存量阶段"),"")</f>
        <v/>
      </c>
    </row>
    <row r="24">
      <c r="A24" s="15" t="n"/>
      <c r="B24" s="16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IFERROR(IF(L24&gt;=参数配置!$C$26,"增量阶段","存量阶段"),"")</f>
        <v/>
      </c>
    </row>
    <row r="25">
      <c r="A25" s="15" t="n"/>
      <c r="B25" s="16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IFERROR(IF(L25&gt;=参数配置!$C$26,"增量阶段","存量阶段"),"")</f>
        <v/>
      </c>
    </row>
    <row r="26">
      <c r="A26" s="15" t="n"/>
      <c r="B26" s="16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IFERROR(IF(L26&gt;=参数配置!$C$26,"增量阶段","存量阶段"),"")</f>
        <v/>
      </c>
    </row>
    <row r="27">
      <c r="A27" s="15" t="n"/>
      <c r="B27" s="16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IFERROR(IF(L27&gt;=参数配置!$C$26,"增量阶段","存量阶段"),"")</f>
        <v/>
      </c>
    </row>
    <row r="28">
      <c r="A28" s="15" t="n"/>
      <c r="B28" s="16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IFERROR(IF(L28&gt;=参数配置!$C$26,"增量阶段","存量阶段"),"")</f>
        <v/>
      </c>
    </row>
    <row r="29">
      <c r="A29" s="15" t="n"/>
      <c r="B29" s="16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IFERROR(IF(L29&gt;=参数配置!$C$26,"增量阶段","存量阶段"),"")</f>
        <v/>
      </c>
    </row>
    <row r="30">
      <c r="A30" s="15" t="n"/>
      <c r="B30" s="16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IFERROR(IF(L30&gt;=参数配置!$C$26,"增量阶段","存量阶段"),"")</f>
        <v/>
      </c>
    </row>
    <row r="31">
      <c r="A31" s="15" t="n"/>
      <c r="B31" s="16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IFERROR(IF(L31&gt;=参数配置!$C$26,"增量阶段","存量阶段"),"")</f>
        <v/>
      </c>
    </row>
    <row r="32">
      <c r="A32" s="15" t="n"/>
      <c r="B32" s="16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IFERROR(IF(L32&gt;=参数配置!$C$26,"增量阶段","存量阶段"),"")</f>
        <v/>
      </c>
    </row>
    <row r="33">
      <c r="A33" s="15" t="n"/>
      <c r="B33" s="16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IFERROR(IF(L33&gt;=参数配置!$C$26,"增量阶段","存量阶段"),"")</f>
        <v/>
      </c>
    </row>
    <row r="34">
      <c r="A34" s="15" t="n"/>
      <c r="B34" s="16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IFERROR(IF(L34&gt;=参数配置!$C$26,"增量阶段","存量阶段"),"")</f>
        <v/>
      </c>
    </row>
    <row r="35">
      <c r="A35" s="15" t="n"/>
      <c r="B35" s="16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IFERROR(IF(L35&gt;=参数配置!$C$26,"增量阶段","存量阶段"),"")</f>
        <v/>
      </c>
    </row>
    <row r="36">
      <c r="A36" s="15" t="n"/>
      <c r="B36" s="16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IFERROR(IF(L36&gt;=参数配置!$C$26,"增量阶段","存量阶段"),"")</f>
        <v/>
      </c>
    </row>
    <row r="37">
      <c r="A37" s="15" t="n"/>
      <c r="B37" s="16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IFERROR(IF(L37&gt;=参数配置!$C$26,"增量阶段","存量阶段"),"")</f>
        <v/>
      </c>
    </row>
    <row r="38">
      <c r="A38" s="15" t="n"/>
      <c r="B38" s="16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IFERROR(IF(L38&gt;=参数配置!$C$26,"增量阶段","存量阶段"),"")</f>
        <v/>
      </c>
    </row>
    <row r="39">
      <c r="A39" s="15" t="n"/>
      <c r="B39" s="16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IFERROR(IF(L39&gt;=参数配置!$C$26,"增量阶段","存量阶段"),"")</f>
        <v/>
      </c>
    </row>
    <row r="40">
      <c r="A40" s="15" t="n"/>
      <c r="B40" s="16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IFERROR(IF(L40&gt;=参数配置!$C$26,"增量阶段","存量阶段"),"")</f>
        <v/>
      </c>
    </row>
    <row r="41">
      <c r="A41" s="15" t="n"/>
      <c r="B41" s="16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IFERROR(IF(L41&gt;=参数配置!$C$26,"增量阶段","存量阶段"),"")</f>
        <v/>
      </c>
    </row>
    <row r="42">
      <c r="A42" s="15" t="n"/>
      <c r="B42" s="16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IFERROR(IF(L42&gt;=参数配置!$C$26,"增量阶段","存量阶段"),"")</f>
        <v/>
      </c>
    </row>
    <row r="43">
      <c r="A43" s="15" t="n"/>
      <c r="B43" s="16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IFERROR(IF(L43&gt;=参数配置!$C$26,"增量阶段","存量阶段"),"")</f>
        <v/>
      </c>
    </row>
    <row r="44">
      <c r="A44" s="15" t="n"/>
      <c r="B44" s="16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IFERROR(IF(L44&gt;=参数配置!$C$26,"增量阶段","存量阶段"),"")</f>
        <v/>
      </c>
    </row>
    <row r="45">
      <c r="A45" s="15" t="n"/>
      <c r="B45" s="16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IFERROR(IF(L45&gt;=参数配置!$C$26,"增量阶段","存量阶段"),"")</f>
        <v/>
      </c>
    </row>
    <row r="46">
      <c r="A46" s="15" t="n"/>
      <c r="B46" s="16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IFERROR(IF(L46&gt;=参数配置!$C$26,"增量阶段","存量阶段"),"")</f>
        <v/>
      </c>
    </row>
    <row r="47">
      <c r="A47" s="15" t="n"/>
      <c r="B47" s="16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IFERROR(IF(L47&gt;=参数配置!$C$26,"增量阶段","存量阶段"),"")</f>
        <v/>
      </c>
    </row>
    <row r="48">
      <c r="A48" s="15" t="n"/>
      <c r="B48" s="16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IFERROR(IF(L48&gt;=参数配置!$C$26,"增量阶段","存量阶段"),"")</f>
        <v/>
      </c>
    </row>
    <row r="49">
      <c r="A49" s="15" t="n"/>
      <c r="B49" s="16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IFERROR(IF(L49&gt;=参数配置!$C$26,"增量阶段","存量阶段"),"")</f>
        <v/>
      </c>
    </row>
    <row r="50">
      <c r="A50" s="15" t="n"/>
      <c r="B50" s="16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IFERROR(IF(L50&gt;=参数配置!$C$26,"增量阶段","存量阶段"),"")</f>
        <v/>
      </c>
    </row>
    <row r="51">
      <c r="A51" s="15" t="n"/>
      <c r="B51" s="16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IFERROR(IF(L51&gt;=参数配置!$C$26,"增量阶段","存量阶段"),"")</f>
        <v/>
      </c>
    </row>
    <row r="52">
      <c r="A52" s="15" t="n"/>
      <c r="B52" s="16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IFERROR(IF(L52&gt;=参数配置!$C$26,"增量阶段","存量阶段"),"")</f>
        <v/>
      </c>
    </row>
    <row r="53">
      <c r="A53" s="15" t="n"/>
      <c r="B53" s="16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IFERROR(IF(L53&gt;=参数配置!$C$26,"增量阶段","存量阶段"),"")</f>
        <v/>
      </c>
    </row>
    <row r="54">
      <c r="A54" s="15" t="n"/>
      <c r="B54" s="16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IFERROR(IF(L54&gt;=参数配置!$C$26,"增量阶段","存量阶段"),"")</f>
        <v/>
      </c>
    </row>
    <row r="55">
      <c r="A55" s="15" t="n"/>
      <c r="B55" s="16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IFERROR(IF(L55&gt;=参数配置!$C$26,"增量阶段","存量阶段"),"")</f>
        <v/>
      </c>
    </row>
    <row r="56">
      <c r="A56" s="15" t="n"/>
      <c r="B56" s="16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IFERROR(IF(L56&gt;=参数配置!$C$26,"增量阶段","存量阶段"),"")</f>
        <v/>
      </c>
    </row>
    <row r="57">
      <c r="A57" s="15" t="n"/>
      <c r="B57" s="16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IFERROR(IF(L57&gt;=参数配置!$C$26,"增量阶段","存量阶段"),"")</f>
        <v/>
      </c>
    </row>
    <row r="58">
      <c r="A58" s="15" t="n"/>
      <c r="B58" s="16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IFERROR(IF(L58&gt;=参数配置!$C$26,"增量阶段","存量阶段"),"")</f>
        <v/>
      </c>
    </row>
    <row r="59">
      <c r="A59" s="15" t="n"/>
      <c r="B59" s="16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IFERROR(IF(L59&gt;=参数配置!$C$26,"增量阶段","存量阶段"),"")</f>
        <v/>
      </c>
    </row>
    <row r="60">
      <c r="A60" s="15" t="n"/>
      <c r="B60" s="16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IFERROR(IF(L60&gt;=参数配置!$C$26,"增量阶段","存量阶段"),"")</f>
        <v/>
      </c>
    </row>
    <row r="61">
      <c r="A61" s="15" t="n"/>
      <c r="B61" s="16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IFERROR(IF(L61&gt;=参数配置!$C$26,"增量阶段","存量阶段"),"")</f>
        <v/>
      </c>
    </row>
    <row r="62">
      <c r="A62" s="15" t="n"/>
      <c r="B62" s="16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IFERROR(IF(L62&gt;=参数配置!$C$26,"增量阶段","存量阶段"),"")</f>
        <v/>
      </c>
    </row>
    <row r="63">
      <c r="A63" s="15" t="n"/>
      <c r="B63" s="16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IFERROR(IF(L63&gt;=参数配置!$C$26,"增量阶段","存量阶段"),"")</f>
        <v/>
      </c>
    </row>
    <row r="64">
      <c r="A64" s="15" t="n"/>
      <c r="B64" s="16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IFERROR(IF(L64&gt;=参数配置!$C$26,"增量阶段","存量阶段"),"")</f>
        <v/>
      </c>
    </row>
    <row r="65">
      <c r="A65" s="15" t="n"/>
      <c r="B65" s="16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IFERROR(IF(L65&gt;=参数配置!$C$26,"增量阶段","存量阶段"),"")</f>
        <v/>
      </c>
    </row>
    <row r="66">
      <c r="A66" s="15" t="n"/>
      <c r="B66" s="16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IFERROR(IF(L66&gt;=参数配置!$C$26,"增量阶段","存量阶段"),"")</f>
        <v/>
      </c>
    </row>
    <row r="67">
      <c r="A67" s="15" t="n"/>
      <c r="B67" s="16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IFERROR(IF(L67&gt;=参数配置!$C$26,"增量阶段","存量阶段"),"")</f>
        <v/>
      </c>
    </row>
    <row r="68">
      <c r="A68" s="15" t="n"/>
      <c r="B68" s="16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IFERROR(IF(L68&gt;=参数配置!$C$26,"增量阶段","存量阶段"),"")</f>
        <v/>
      </c>
    </row>
    <row r="69">
      <c r="A69" s="15" t="n"/>
      <c r="B69" s="16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IFERROR(IF(L69&gt;=参数配置!$C$26,"增量阶段","存量阶段"),"")</f>
        <v/>
      </c>
    </row>
    <row r="70">
      <c r="A70" s="15" t="n"/>
      <c r="B70" s="16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IFERROR(IF(L70&gt;=参数配置!$C$26,"增量阶段","存量阶段"),"")</f>
        <v/>
      </c>
    </row>
    <row r="71">
      <c r="A71" s="15" t="n"/>
      <c r="B71" s="16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IFERROR(IF(L71&gt;=参数配置!$C$26,"增量阶段","存量阶段"),"")</f>
        <v/>
      </c>
    </row>
    <row r="72">
      <c r="A72" s="15" t="n"/>
      <c r="B72" s="16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IFERROR(IF(L72&gt;=参数配置!$C$26,"增量阶段","存量阶段"),"")</f>
        <v/>
      </c>
    </row>
    <row r="73">
      <c r="A73" s="15" t="n"/>
      <c r="B73" s="16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IFERROR(IF(L73&gt;=参数配置!$C$26,"增量阶段","存量阶段"),"")</f>
        <v/>
      </c>
    </row>
    <row r="74">
      <c r="A74" s="15" t="n"/>
      <c r="B74" s="16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IFERROR(IF(L74&gt;=参数配置!$C$26,"增量阶段","存量阶段"),"")</f>
        <v/>
      </c>
    </row>
    <row r="75">
      <c r="A75" s="15" t="n"/>
      <c r="B75" s="16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IFERROR(IF(L75&gt;=参数配置!$C$26,"增量阶段","存量阶段"),"")</f>
        <v/>
      </c>
    </row>
    <row r="76">
      <c r="A76" s="15" t="n"/>
      <c r="B76" s="16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IFERROR(IF(L76&gt;=参数配置!$C$26,"增量阶段","存量阶段"),"")</f>
        <v/>
      </c>
    </row>
    <row r="77">
      <c r="A77" s="15" t="n"/>
      <c r="B77" s="16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IFERROR(IF(L77&gt;=参数配置!$C$26,"增量阶段","存量阶段"),"")</f>
        <v/>
      </c>
    </row>
    <row r="78">
      <c r="A78" s="15" t="n"/>
      <c r="B78" s="16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IFERROR(IF(L78&gt;=参数配置!$C$26,"增量阶段","存量阶段"),"")</f>
        <v/>
      </c>
    </row>
    <row r="79">
      <c r="A79" s="15" t="n"/>
      <c r="B79" s="16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IFERROR(IF(L79&gt;=参数配置!$C$26,"增量阶段","存量阶段"),"")</f>
        <v/>
      </c>
    </row>
    <row r="80">
      <c r="A80" s="15" t="n"/>
      <c r="B80" s="16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IFERROR(IF(L80&gt;=参数配置!$C$26,"增量阶段","存量阶段"),"")</f>
        <v/>
      </c>
    </row>
    <row r="81">
      <c r="A81" s="15" t="n"/>
      <c r="B81" s="16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IFERROR(IF(L81&gt;=参数配置!$C$26,"增量阶段","存量阶段"),"")</f>
        <v/>
      </c>
    </row>
    <row r="82">
      <c r="A82" s="15" t="n"/>
      <c r="B82" s="16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IFERROR(IF(L82&gt;=参数配置!$C$26,"增量阶段","存量阶段"),"")</f>
        <v/>
      </c>
    </row>
    <row r="83">
      <c r="A83" s="15" t="n"/>
      <c r="B83" s="16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IFERROR(IF(L83&gt;=参数配置!$C$26,"增量阶段","存量阶段"),"")</f>
        <v/>
      </c>
    </row>
    <row r="84">
      <c r="A84" s="15" t="n"/>
      <c r="B84" s="16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IFERROR(IF(L84&gt;=参数配置!$C$26,"增量阶段","存量阶段"),"")</f>
        <v/>
      </c>
    </row>
    <row r="85">
      <c r="A85" s="15" t="n"/>
      <c r="B85" s="16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IFERROR(IF(L85&gt;=参数配置!$C$26,"增量阶段","存量阶段"),"")</f>
        <v/>
      </c>
    </row>
    <row r="86">
      <c r="A86" s="15" t="n"/>
      <c r="B86" s="16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IFERROR(IF(L86&gt;=参数配置!$C$26,"增量阶段","存量阶段"),"")</f>
        <v/>
      </c>
    </row>
    <row r="87">
      <c r="A87" s="15" t="n"/>
      <c r="B87" s="16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IFERROR(IF(L87&gt;=参数配置!$C$26,"增量阶段","存量阶段"),"")</f>
        <v/>
      </c>
    </row>
    <row r="88">
      <c r="A88" s="15" t="n"/>
      <c r="B88" s="16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IFERROR(IF(L88&gt;=参数配置!$C$26,"增量阶段","存量阶段"),"")</f>
        <v/>
      </c>
    </row>
    <row r="89">
      <c r="A89" s="15" t="n"/>
      <c r="B89" s="16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IFERROR(IF(L89&gt;=参数配置!$C$26,"增量阶段","存量阶段"),"")</f>
        <v/>
      </c>
    </row>
    <row r="90">
      <c r="A90" s="15" t="n"/>
      <c r="B90" s="16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IFERROR(IF(L90&gt;=参数配置!$C$26,"增量阶段","存量阶段"),"")</f>
        <v/>
      </c>
    </row>
    <row r="91">
      <c r="A91" s="15" t="n"/>
      <c r="B91" s="16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IFERROR(IF(L91&gt;=参数配置!$C$26,"增量阶段","存量阶段"),"")</f>
        <v/>
      </c>
    </row>
    <row r="92">
      <c r="A92" s="15" t="n"/>
      <c r="B92" s="16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IFERROR(IF(L92&gt;=参数配置!$C$26,"增量阶段","存量阶段"),"")</f>
        <v/>
      </c>
    </row>
    <row r="93">
      <c r="A93" s="15" t="n"/>
      <c r="B93" s="16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IFERROR(IF(L93&gt;=参数配置!$C$26,"增量阶段","存量阶段"),"")</f>
        <v/>
      </c>
    </row>
    <row r="94">
      <c r="A94" s="15" t="n"/>
      <c r="B94" s="16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IFERROR(IF(L94&gt;=参数配置!$C$26,"增量阶段","存量阶段"),"")</f>
        <v/>
      </c>
    </row>
    <row r="95">
      <c r="A95" s="15" t="n"/>
      <c r="B95" s="16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IFERROR(IF(L95&gt;=参数配置!$C$26,"增量阶段","存量阶段"),"")</f>
        <v/>
      </c>
    </row>
    <row r="96">
      <c r="A96" s="15" t="n"/>
      <c r="B96" s="16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IFERROR(IF(L96&gt;=参数配置!$C$26,"增量阶段","存量阶段"),"")</f>
        <v/>
      </c>
    </row>
    <row r="97">
      <c r="A97" s="15" t="n"/>
      <c r="B97" s="16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IFERROR(IF(L97&gt;=参数配置!$C$26,"增量阶段","存量阶段"),"")</f>
        <v/>
      </c>
    </row>
    <row r="98">
      <c r="A98" s="15" t="n"/>
      <c r="B98" s="16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IFERROR(IF(L98&gt;=参数配置!$C$26,"增量阶段","存量阶段"),"")</f>
        <v/>
      </c>
    </row>
    <row r="99">
      <c r="A99" s="15" t="n"/>
      <c r="B99" s="16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IFERROR(IF(L99&gt;=参数配置!$C$26,"增量阶段","存量阶段"),"")</f>
        <v/>
      </c>
    </row>
    <row r="100">
      <c r="A100" s="15" t="n"/>
      <c r="B100" s="16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IFERROR(IF(L100&gt;=参数配置!$C$26,"增量阶段","存量阶段"),"")</f>
        <v/>
      </c>
    </row>
    <row r="101">
      <c r="A101" s="15" t="n"/>
      <c r="B101" s="16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IFERROR(IF(L101&gt;=参数配置!$C$26,"增量阶段","存量阶段"),"")</f>
        <v/>
      </c>
    </row>
    <row r="102">
      <c r="A102" s="15" t="n"/>
      <c r="B102" s="16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IFERROR(IF(L102&gt;=参数配置!$C$26,"增量阶段","存量阶段"),"")</f>
        <v/>
      </c>
    </row>
    <row r="103">
      <c r="A103" s="15" t="n"/>
      <c r="B103" s="16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IFERROR(IF(L103&gt;=参数配置!$C$26,"增量阶段","存量阶段"),"")</f>
        <v/>
      </c>
    </row>
    <row r="104">
      <c r="A104" s="15" t="n"/>
      <c r="B104" s="16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IFERROR(IF(L104&gt;=参数配置!$C$26,"增量阶段","存量阶段"),"")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18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18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18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18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19">
        <f>SUM(D5:D8)</f>
        <v/>
      </c>
    </row>
    <row r="11">
      <c r="A11" s="4" t="inlineStr">
        <is>
          <t>常规定投</t>
        </is>
      </c>
      <c r="B11" s="4" t="inlineStr">
        <is>
          <t>参数</t>
        </is>
      </c>
      <c r="C11" s="4" t="inlineStr">
        <is>
          <t>数值</t>
        </is>
      </c>
      <c r="D11" s="4" t="inlineStr">
        <is>
          <t>说明</t>
        </is>
      </c>
    </row>
    <row r="12">
      <c r="A12" s="6" t="inlineStr">
        <is>
          <t>常规应投封顶（正常/收割）</t>
        </is>
      </c>
      <c r="B12" s="6" t="inlineStr"/>
      <c r="C12" s="15" t="n">
        <v>2.5</v>
      </c>
      <c r="D12" s="20" t="inlineStr">
        <is>
          <t>基准金额 × 2.5 倍，正常定投和收割期使用</t>
        </is>
      </c>
    </row>
    <row r="13">
      <c r="A13" s="6" t="inlineStr">
        <is>
          <t>安全封顶（加码时）</t>
        </is>
      </c>
      <c r="B13" s="6" t="inlineStr"/>
      <c r="C13" s="15" t="n">
        <v>5</v>
      </c>
      <c r="D13" s="20" t="inlineStr">
        <is>
          <t>基准金额 × 5.0 倍，加码时先补缺口再叠加，总量不超此上限</t>
        </is>
      </c>
    </row>
    <row r="14">
      <c r="A14" s="4" t="inlineStr">
        <is>
          <t>网格收割</t>
        </is>
      </c>
      <c r="B14" s="4" t="inlineStr">
        <is>
          <t>档位</t>
        </is>
      </c>
      <c r="C14" s="4" t="inlineStr">
        <is>
          <t>偏离度触发阈值</t>
        </is>
      </c>
      <c r="D14" s="4" t="inlineStr">
        <is>
          <t>卖出比例（超额部分）</t>
        </is>
      </c>
      <c r="E14" s="4" t="inlineStr">
        <is>
          <t>说明</t>
        </is>
      </c>
    </row>
    <row r="15">
      <c r="A15" s="6" t="inlineStr">
        <is>
          <t>一档</t>
        </is>
      </c>
      <c r="B15" s="6" t="inlineStr"/>
      <c r="C15" s="21" t="n">
        <v>0.15</v>
      </c>
      <c r="D15" s="22" t="n">
        <v>0.2</v>
      </c>
      <c r="E15" s="20" t="inlineStr">
        <is>
          <t>轻度超买</t>
        </is>
      </c>
    </row>
    <row r="16">
      <c r="A16" s="6" t="inlineStr">
        <is>
          <t>二档</t>
        </is>
      </c>
      <c r="B16" s="6" t="inlineStr"/>
      <c r="C16" s="21" t="n">
        <v>0.22</v>
      </c>
      <c r="D16" s="22" t="n">
        <v>0.35</v>
      </c>
      <c r="E16" s="20" t="inlineStr">
        <is>
          <t>中度超买</t>
        </is>
      </c>
    </row>
    <row r="17">
      <c r="A17" s="6" t="inlineStr">
        <is>
          <t>三档</t>
        </is>
      </c>
      <c r="B17" s="6" t="inlineStr"/>
      <c r="C17" s="21" t="n">
        <v>0.28</v>
      </c>
      <c r="D17" s="22" t="n">
        <v>0.5</v>
      </c>
      <c r="E17" s="20" t="inlineStr">
        <is>
          <t>重度超买</t>
        </is>
      </c>
    </row>
    <row r="18">
      <c r="A18" s="6" t="inlineStr">
        <is>
          <t>极端清仓</t>
        </is>
      </c>
      <c r="B18" s="6" t="inlineStr"/>
      <c r="C18" s="21" t="n">
        <v>0.4</v>
      </c>
      <c r="D18" s="22" t="n">
        <v>1</v>
      </c>
      <c r="E18" s="20" t="inlineStr">
        <is>
          <t>清仓并冷却</t>
        </is>
      </c>
    </row>
    <row r="20">
      <c r="A20" s="4" t="inlineStr">
        <is>
          <t>大跌加码</t>
        </is>
      </c>
      <c r="B20" s="4" t="inlineStr">
        <is>
          <t>档位</t>
        </is>
      </c>
      <c r="C20" s="4" t="inlineStr">
        <is>
          <t>偏离度触发阈值</t>
        </is>
      </c>
      <c r="D20" s="4" t="inlineStr">
        <is>
          <t>加码金额（基准×比例）</t>
        </is>
      </c>
      <c r="E20" s="4" t="inlineStr">
        <is>
          <t>说明</t>
        </is>
      </c>
    </row>
    <row r="21">
      <c r="A21" s="6" t="inlineStr">
        <is>
          <t>一档</t>
        </is>
      </c>
      <c r="B21" s="6" t="inlineStr"/>
      <c r="C21" s="22" t="n">
        <v>-0.08</v>
      </c>
      <c r="D21" s="22" t="n">
        <v>0.4</v>
      </c>
      <c r="E21" s="20" t="inlineStr">
        <is>
          <t>轻度超卖</t>
        </is>
      </c>
    </row>
    <row r="22">
      <c r="A22" s="6" t="inlineStr">
        <is>
          <t>二档</t>
        </is>
      </c>
      <c r="B22" s="6" t="inlineStr"/>
      <c r="C22" s="22" t="n">
        <v>-0.18</v>
      </c>
      <c r="D22" s="22" t="n">
        <v>0.7</v>
      </c>
      <c r="E22" s="20" t="inlineStr">
        <is>
          <t>中度超卖</t>
        </is>
      </c>
    </row>
    <row r="23">
      <c r="A23" s="6" t="inlineStr">
        <is>
          <t>三档</t>
        </is>
      </c>
      <c r="B23" s="6" t="inlineStr"/>
      <c r="C23" s="22" t="n">
        <v>-0.26</v>
      </c>
      <c r="D23" s="22" t="n">
        <v>1</v>
      </c>
      <c r="E23" s="20" t="inlineStr">
        <is>
          <t>重度超卖</t>
        </is>
      </c>
    </row>
    <row r="25">
      <c r="A25" s="3" t="inlineStr">
        <is>
          <t>五、增量阶段</t>
        </is>
      </c>
    </row>
    <row r="26">
      <c r="A26" s="5" t="inlineStr">
        <is>
          <t>触发门槛（累计净投入）</t>
        </is>
      </c>
      <c r="B26" s="6" t="inlineStr"/>
      <c r="C26" s="17" t="n">
        <v>150000</v>
      </c>
      <c r="D26" s="20" t="inlineStr">
        <is>
          <t>达到后切换为增量阶段，买卖均走储备金池</t>
        </is>
      </c>
    </row>
    <row r="27">
      <c r="A27" s="5" t="inlineStr">
        <is>
          <t>每期增量注入金额</t>
        </is>
      </c>
      <c r="B27" s="6" t="inlineStr"/>
      <c r="C27" s="17" t="n">
        <v>2000</v>
      </c>
      <c r="D27" s="20" t="inlineStr">
        <is>
          <t>每期向储备金池注入的新增资金</t>
        </is>
      </c>
    </row>
  </sheetData>
  <mergeCells count="4">
    <mergeCell ref="A2:F2"/>
    <mergeCell ref="D26:E26"/>
    <mergeCell ref="A1:F1"/>
    <mergeCell ref="D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IFERROR(参数配置!$C$5*B5,"")</f>
        <v/>
      </c>
      <c r="D5" s="26" t="n"/>
      <c r="E5" s="26" t="n"/>
      <c r="F5" s="27">
        <f>IFERROR((D5-E5)/E5,"")</f>
        <v/>
      </c>
      <c r="G5" s="26" t="n"/>
      <c r="H5" s="7">
        <f>IFERROR(G5*D5,"")</f>
        <v/>
      </c>
      <c r="I5" s="7">
        <f>IFERROR(IF(F5&gt;=参数配置!$C$18,0,IF(F5&lt;=参数配置!$C$21,MAX(0,MIN(C5-H5,参数配置!$C$5*参数配置!$C$13)),MAX(0,MIN(C5-H5,参数配置!$C$5*参数配置!$C$12)))),"")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$5*参数配置!$D$23,IF(F5&lt;=参数配置!$C$22,I5+参数配置!$C$5*参数配置!$D$22,IF(F5&lt;=参数配置!$C$21,I5+参数配置!$C$5*参数配置!$D$21,I5))))))),"")</f>
        <v/>
      </c>
      <c r="L5" s="17" t="n"/>
      <c r="M5" s="26" t="n"/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16" t="n"/>
      <c r="B6" s="15" t="n"/>
      <c r="C6" s="7">
        <f>IFERROR(参数配置!$C$5*B6,"")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IFERROR(IF(F6&gt;=参数配置!$C$18,0,IF(F6&lt;=参数配置!$C$21,MAX(0,MIN(C6-H6,参数配置!$C$5*参数配置!$C$13)),MAX(0,MIN(C6-H6,参数配置!$C$5*参数配置!$C$12)))),"")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$5*参数配置!$D$23,IF(F6&lt;=参数配置!$C$22,I6+参数配置!$C$5*参数配置!$D$22,IF(F6&lt;=参数配置!$C$21,I6+参数配置!$C$5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16" t="n"/>
      <c r="B7" s="15" t="n"/>
      <c r="C7" s="7">
        <f>IFERROR(参数配置!$C$5*B7,"")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IFERROR(IF(F7&gt;=参数配置!$C$18,0,IF(F7&lt;=参数配置!$C$21,MAX(0,MIN(C7-H7,参数配置!$C$5*参数配置!$C$13)),MAX(0,MIN(C7-H7,参数配置!$C$5*参数配置!$C$12)))),"")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$5*参数配置!$D$23,IF(F7&lt;=参数配置!$C$22,I7+参数配置!$C$5*参数配置!$D$22,IF(F7&lt;=参数配置!$C$21,I7+参数配置!$C$5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16" t="n"/>
      <c r="B8" s="15" t="n"/>
      <c r="C8" s="7">
        <f>IFERROR(参数配置!$C$5*B8,"")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IFERROR(IF(F8&gt;=参数配置!$C$18,0,IF(F8&lt;=参数配置!$C$21,MAX(0,MIN(C8-H8,参数配置!$C$5*参数配置!$C$13)),MAX(0,MIN(C8-H8,参数配置!$C$5*参数配置!$C$12)))),"")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$5*参数配置!$D$23,IF(F8&lt;=参数配置!$C$22,I8+参数配置!$C$5*参数配置!$D$22,IF(F8&lt;=参数配置!$C$21,I8+参数配置!$C$5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16" t="n"/>
      <c r="B9" s="15" t="n"/>
      <c r="C9" s="7">
        <f>IFERROR(参数配置!$C$5*B9,"")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IFERROR(IF(F9&gt;=参数配置!$C$18,0,IF(F9&lt;=参数配置!$C$21,MAX(0,MIN(C9-H9,参数配置!$C$5*参数配置!$C$13)),MAX(0,MIN(C9-H9,参数配置!$C$5*参数配置!$C$12)))),"")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$5*参数配置!$D$23,IF(F9&lt;=参数配置!$C$22,I9+参数配置!$C$5*参数配置!$D$22,IF(F9&lt;=参数配置!$C$21,I9+参数配置!$C$5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16" t="n"/>
      <c r="B10" s="15" t="n"/>
      <c r="C10" s="7">
        <f>IFERROR(参数配置!$C$5*B10,"")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IFERROR(IF(F10&gt;=参数配置!$C$18,0,IF(F10&lt;=参数配置!$C$21,MAX(0,MIN(C10-H10,参数配置!$C$5*参数配置!$C$13)),MAX(0,MIN(C10-H10,参数配置!$C$5*参数配置!$C$12)))),"")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$5*参数配置!$D$23,IF(F10&lt;=参数配置!$C$22,I10+参数配置!$C$5*参数配置!$D$22,IF(F10&lt;=参数配置!$C$21,I10+参数配置!$C$5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16" t="n"/>
      <c r="B11" s="15" t="n"/>
      <c r="C11" s="7">
        <f>IFERROR(参数配置!$C$5*B11,"")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IFERROR(IF(F11&gt;=参数配置!$C$18,0,IF(F11&lt;=参数配置!$C$21,MAX(0,MIN(C11-H11,参数配置!$C$5*参数配置!$C$13)),MAX(0,MIN(C11-H11,参数配置!$C$5*参数配置!$C$12)))),"")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$5*参数配置!$D$23,IF(F11&lt;=参数配置!$C$22,I11+参数配置!$C$5*参数配置!$D$22,IF(F11&lt;=参数配置!$C$21,I11+参数配置!$C$5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16" t="n"/>
      <c r="B12" s="15" t="n"/>
      <c r="C12" s="7">
        <f>IFERROR(参数配置!$C$5*B12,"")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IFERROR(IF(F12&gt;=参数配置!$C$18,0,IF(F12&lt;=参数配置!$C$21,MAX(0,MIN(C12-H12,参数配置!$C$5*参数配置!$C$13)),MAX(0,MIN(C12-H12,参数配置!$C$5*参数配置!$C$12)))),"")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$5*参数配置!$D$23,IF(F12&lt;=参数配置!$C$22,I12+参数配置!$C$5*参数配置!$D$22,IF(F12&lt;=参数配置!$C$21,I12+参数配置!$C$5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16" t="n"/>
      <c r="B13" s="15" t="n"/>
      <c r="C13" s="7">
        <f>IFERROR(参数配置!$C$5*B13,"")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IFERROR(IF(F13&gt;=参数配置!$C$18,0,IF(F13&lt;=参数配置!$C$21,MAX(0,MIN(C13-H13,参数配置!$C$5*参数配置!$C$13)),MAX(0,MIN(C13-H13,参数配置!$C$5*参数配置!$C$12)))),"")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$5*参数配置!$D$23,IF(F13&lt;=参数配置!$C$22,I13+参数配置!$C$5*参数配置!$D$22,IF(F13&lt;=参数配置!$C$21,I13+参数配置!$C$5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16" t="n"/>
      <c r="B14" s="15" t="n"/>
      <c r="C14" s="7">
        <f>IFERROR(参数配置!$C$5*B14,"")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IFERROR(IF(F14&gt;=参数配置!$C$18,0,IF(F14&lt;=参数配置!$C$21,MAX(0,MIN(C14-H14,参数配置!$C$5*参数配置!$C$13)),MAX(0,MIN(C14-H14,参数配置!$C$5*参数配置!$C$12)))),"")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$5*参数配置!$D$23,IF(F14&lt;=参数配置!$C$22,I14+参数配置!$C$5*参数配置!$D$22,IF(F14&lt;=参数配置!$C$21,I14+参数配置!$C$5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16" t="n"/>
      <c r="B15" s="15" t="n"/>
      <c r="C15" s="7">
        <f>IFERROR(参数配置!$C$5*B15,"")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IFERROR(IF(F15&gt;=参数配置!$C$18,0,IF(F15&lt;=参数配置!$C$21,MAX(0,MIN(C15-H15,参数配置!$C$5*参数配置!$C$13)),MAX(0,MIN(C15-H15,参数配置!$C$5*参数配置!$C$12)))),"")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$5*参数配置!$D$23,IF(F15&lt;=参数配置!$C$22,I15+参数配置!$C$5*参数配置!$D$22,IF(F15&lt;=参数配置!$C$21,I15+参数配置!$C$5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16" t="n"/>
      <c r="B16" s="15" t="n"/>
      <c r="C16" s="7">
        <f>IFERROR(参数配置!$C$5*B16,"")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IFERROR(IF(F16&gt;=参数配置!$C$18,0,IF(F16&lt;=参数配置!$C$21,MAX(0,MIN(C16-H16,参数配置!$C$5*参数配置!$C$13)),MAX(0,MIN(C16-H16,参数配置!$C$5*参数配置!$C$12)))),"")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$5*参数配置!$D$23,IF(F16&lt;=参数配置!$C$22,I16+参数配置!$C$5*参数配置!$D$22,IF(F16&lt;=参数配置!$C$21,I16+参数配置!$C$5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16" t="n"/>
      <c r="B17" s="15" t="n"/>
      <c r="C17" s="7">
        <f>IFERROR(参数配置!$C$5*B17,"")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IFERROR(IF(F17&gt;=参数配置!$C$18,0,IF(F17&lt;=参数配置!$C$21,MAX(0,MIN(C17-H17,参数配置!$C$5*参数配置!$C$13)),MAX(0,MIN(C17-H17,参数配置!$C$5*参数配置!$C$12)))),"")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$5*参数配置!$D$23,IF(F17&lt;=参数配置!$C$22,I17+参数配置!$C$5*参数配置!$D$22,IF(F17&lt;=参数配置!$C$21,I17+参数配置!$C$5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16" t="n"/>
      <c r="B18" s="15" t="n"/>
      <c r="C18" s="7">
        <f>IFERROR(参数配置!$C$5*B18,"")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IFERROR(IF(F18&gt;=参数配置!$C$18,0,IF(F18&lt;=参数配置!$C$21,MAX(0,MIN(C18-H18,参数配置!$C$5*参数配置!$C$13)),MAX(0,MIN(C18-H18,参数配置!$C$5*参数配置!$C$12)))),"")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$5*参数配置!$D$23,IF(F18&lt;=参数配置!$C$22,I18+参数配置!$C$5*参数配置!$D$22,IF(F18&lt;=参数配置!$C$21,I18+参数配置!$C$5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16" t="n"/>
      <c r="B19" s="15" t="n"/>
      <c r="C19" s="7">
        <f>IFERROR(参数配置!$C$5*B19,"")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IFERROR(IF(F19&gt;=参数配置!$C$18,0,IF(F19&lt;=参数配置!$C$21,MAX(0,MIN(C19-H19,参数配置!$C$5*参数配置!$C$13)),MAX(0,MIN(C19-H19,参数配置!$C$5*参数配置!$C$12)))),"")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$5*参数配置!$D$23,IF(F19&lt;=参数配置!$C$22,I19+参数配置!$C$5*参数配置!$D$22,IF(F19&lt;=参数配置!$C$21,I19+参数配置!$C$5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16" t="n"/>
      <c r="B20" s="15" t="n"/>
      <c r="C20" s="7">
        <f>IFERROR(参数配置!$C$5*B20,"")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IFERROR(IF(F20&gt;=参数配置!$C$18,0,IF(F20&lt;=参数配置!$C$21,MAX(0,MIN(C20-H20,参数配置!$C$5*参数配置!$C$13)),MAX(0,MIN(C20-H20,参数配置!$C$5*参数配置!$C$12)))),"")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$5*参数配置!$D$23,IF(F20&lt;=参数配置!$C$22,I20+参数配置!$C$5*参数配置!$D$22,IF(F20&lt;=参数配置!$C$21,I20+参数配置!$C$5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16" t="n"/>
      <c r="B21" s="15" t="n"/>
      <c r="C21" s="7">
        <f>IFERROR(参数配置!$C$5*B21,"")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IFERROR(IF(F21&gt;=参数配置!$C$18,0,IF(F21&lt;=参数配置!$C$21,MAX(0,MIN(C21-H21,参数配置!$C$5*参数配置!$C$13)),MAX(0,MIN(C21-H21,参数配置!$C$5*参数配置!$C$12)))),"")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$5*参数配置!$D$23,IF(F21&lt;=参数配置!$C$22,I21+参数配置!$C$5*参数配置!$D$22,IF(F21&lt;=参数配置!$C$21,I21+参数配置!$C$5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16" t="n"/>
      <c r="B22" s="15" t="n"/>
      <c r="C22" s="7">
        <f>IFERROR(参数配置!$C$5*B22,"")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IFERROR(IF(F22&gt;=参数配置!$C$18,0,IF(F22&lt;=参数配置!$C$21,MAX(0,MIN(C22-H22,参数配置!$C$5*参数配置!$C$13)),MAX(0,MIN(C22-H22,参数配置!$C$5*参数配置!$C$12)))),"")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$5*参数配置!$D$23,IF(F22&lt;=参数配置!$C$22,I22+参数配置!$C$5*参数配置!$D$22,IF(F22&lt;=参数配置!$C$21,I22+参数配置!$C$5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16" t="n"/>
      <c r="B23" s="15" t="n"/>
      <c r="C23" s="7">
        <f>IFERROR(参数配置!$C$5*B23,"")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IFERROR(IF(F23&gt;=参数配置!$C$18,0,IF(F23&lt;=参数配置!$C$21,MAX(0,MIN(C23-H23,参数配置!$C$5*参数配置!$C$13)),MAX(0,MIN(C23-H23,参数配置!$C$5*参数配置!$C$12)))),"")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$5*参数配置!$D$23,IF(F23&lt;=参数配置!$C$22,I23+参数配置!$C$5*参数配置!$D$22,IF(F23&lt;=参数配置!$C$21,I23+参数配置!$C$5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16" t="n"/>
      <c r="B24" s="15" t="n"/>
      <c r="C24" s="7">
        <f>IFERROR(参数配置!$C$5*B24,"")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IFERROR(IF(F24&gt;=参数配置!$C$18,0,IF(F24&lt;=参数配置!$C$21,MAX(0,MIN(C24-H24,参数配置!$C$5*参数配置!$C$13)),MAX(0,MIN(C24-H24,参数配置!$C$5*参数配置!$C$12)))),"")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$5*参数配置!$D$23,IF(F24&lt;=参数配置!$C$22,I24+参数配置!$C$5*参数配置!$D$22,IF(F24&lt;=参数配置!$C$21,I24+参数配置!$C$5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16" t="n"/>
      <c r="B25" s="15" t="n"/>
      <c r="C25" s="7">
        <f>IFERROR(参数配置!$C$5*B25,"")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IFERROR(IF(F25&gt;=参数配置!$C$18,0,IF(F25&lt;=参数配置!$C$21,MAX(0,MIN(C25-H25,参数配置!$C$5*参数配置!$C$13)),MAX(0,MIN(C25-H25,参数配置!$C$5*参数配置!$C$12)))),"")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$5*参数配置!$D$23,IF(F25&lt;=参数配置!$C$22,I25+参数配置!$C$5*参数配置!$D$22,IF(F25&lt;=参数配置!$C$21,I25+参数配置!$C$5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16" t="n"/>
      <c r="B26" s="15" t="n"/>
      <c r="C26" s="7">
        <f>IFERROR(参数配置!$C$5*B26,"")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IFERROR(IF(F26&gt;=参数配置!$C$18,0,IF(F26&lt;=参数配置!$C$21,MAX(0,MIN(C26-H26,参数配置!$C$5*参数配置!$C$13)),MAX(0,MIN(C26-H26,参数配置!$C$5*参数配置!$C$12)))),"")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$5*参数配置!$D$23,IF(F26&lt;=参数配置!$C$22,I26+参数配置!$C$5*参数配置!$D$22,IF(F26&lt;=参数配置!$C$21,I26+参数配置!$C$5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16" t="n"/>
      <c r="B27" s="15" t="n"/>
      <c r="C27" s="7">
        <f>IFERROR(参数配置!$C$5*B27,"")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IFERROR(IF(F27&gt;=参数配置!$C$18,0,IF(F27&lt;=参数配置!$C$21,MAX(0,MIN(C27-H27,参数配置!$C$5*参数配置!$C$13)),MAX(0,MIN(C27-H27,参数配置!$C$5*参数配置!$C$12)))),"")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$5*参数配置!$D$23,IF(F27&lt;=参数配置!$C$22,I27+参数配置!$C$5*参数配置!$D$22,IF(F27&lt;=参数配置!$C$21,I27+参数配置!$C$5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16" t="n"/>
      <c r="B28" s="15" t="n"/>
      <c r="C28" s="7">
        <f>IFERROR(参数配置!$C$5*B28,"")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IFERROR(IF(F28&gt;=参数配置!$C$18,0,IF(F28&lt;=参数配置!$C$21,MAX(0,MIN(C28-H28,参数配置!$C$5*参数配置!$C$13)),MAX(0,MIN(C28-H28,参数配置!$C$5*参数配置!$C$12)))),"")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$5*参数配置!$D$23,IF(F28&lt;=参数配置!$C$22,I28+参数配置!$C$5*参数配置!$D$22,IF(F28&lt;=参数配置!$C$21,I28+参数配置!$C$5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16" t="n"/>
      <c r="B29" s="15" t="n"/>
      <c r="C29" s="7">
        <f>IFERROR(参数配置!$C$5*B29,"")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IFERROR(IF(F29&gt;=参数配置!$C$18,0,IF(F29&lt;=参数配置!$C$21,MAX(0,MIN(C29-H29,参数配置!$C$5*参数配置!$C$13)),MAX(0,MIN(C29-H29,参数配置!$C$5*参数配置!$C$12)))),"")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$5*参数配置!$D$23,IF(F29&lt;=参数配置!$C$22,I29+参数配置!$C$5*参数配置!$D$22,IF(F29&lt;=参数配置!$C$21,I29+参数配置!$C$5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16" t="n"/>
      <c r="B30" s="15" t="n"/>
      <c r="C30" s="7">
        <f>IFERROR(参数配置!$C$5*B30,"")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IFERROR(IF(F30&gt;=参数配置!$C$18,0,IF(F30&lt;=参数配置!$C$21,MAX(0,MIN(C30-H30,参数配置!$C$5*参数配置!$C$13)),MAX(0,MIN(C30-H30,参数配置!$C$5*参数配置!$C$12)))),"")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$5*参数配置!$D$23,IF(F30&lt;=参数配置!$C$22,I30+参数配置!$C$5*参数配置!$D$22,IF(F30&lt;=参数配置!$C$21,I30+参数配置!$C$5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16" t="n"/>
      <c r="B31" s="15" t="n"/>
      <c r="C31" s="7">
        <f>IFERROR(参数配置!$C$5*B31,"")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IFERROR(IF(F31&gt;=参数配置!$C$18,0,IF(F31&lt;=参数配置!$C$21,MAX(0,MIN(C31-H31,参数配置!$C$5*参数配置!$C$13)),MAX(0,MIN(C31-H31,参数配置!$C$5*参数配置!$C$12)))),"")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$5*参数配置!$D$23,IF(F31&lt;=参数配置!$C$22,I31+参数配置!$C$5*参数配置!$D$22,IF(F31&lt;=参数配置!$C$21,I31+参数配置!$C$5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16" t="n"/>
      <c r="B32" s="15" t="n"/>
      <c r="C32" s="7">
        <f>IFERROR(参数配置!$C$5*B32,"")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IFERROR(IF(F32&gt;=参数配置!$C$18,0,IF(F32&lt;=参数配置!$C$21,MAX(0,MIN(C32-H32,参数配置!$C$5*参数配置!$C$13)),MAX(0,MIN(C32-H32,参数配置!$C$5*参数配置!$C$12)))),"")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$5*参数配置!$D$23,IF(F32&lt;=参数配置!$C$22,I32+参数配置!$C$5*参数配置!$D$22,IF(F32&lt;=参数配置!$C$21,I32+参数配置!$C$5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16" t="n"/>
      <c r="B33" s="15" t="n"/>
      <c r="C33" s="7">
        <f>IFERROR(参数配置!$C$5*B33,"")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IFERROR(IF(F33&gt;=参数配置!$C$18,0,IF(F33&lt;=参数配置!$C$21,MAX(0,MIN(C33-H33,参数配置!$C$5*参数配置!$C$13)),MAX(0,MIN(C33-H33,参数配置!$C$5*参数配置!$C$12)))),"")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$5*参数配置!$D$23,IF(F33&lt;=参数配置!$C$22,I33+参数配置!$C$5*参数配置!$D$22,IF(F33&lt;=参数配置!$C$21,I33+参数配置!$C$5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16" t="n"/>
      <c r="B34" s="15" t="n"/>
      <c r="C34" s="7">
        <f>IFERROR(参数配置!$C$5*B34,"")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IFERROR(IF(F34&gt;=参数配置!$C$18,0,IF(F34&lt;=参数配置!$C$21,MAX(0,MIN(C34-H34,参数配置!$C$5*参数配置!$C$13)),MAX(0,MIN(C34-H34,参数配置!$C$5*参数配置!$C$12)))),"")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$5*参数配置!$D$23,IF(F34&lt;=参数配置!$C$22,I34+参数配置!$C$5*参数配置!$D$22,IF(F34&lt;=参数配置!$C$21,I34+参数配置!$C$5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16" t="n"/>
      <c r="B35" s="15" t="n"/>
      <c r="C35" s="7">
        <f>IFERROR(参数配置!$C$5*B35,"")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IFERROR(IF(F35&gt;=参数配置!$C$18,0,IF(F35&lt;=参数配置!$C$21,MAX(0,MIN(C35-H35,参数配置!$C$5*参数配置!$C$13)),MAX(0,MIN(C35-H35,参数配置!$C$5*参数配置!$C$12)))),"")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$5*参数配置!$D$23,IF(F35&lt;=参数配置!$C$22,I35+参数配置!$C$5*参数配置!$D$22,IF(F35&lt;=参数配置!$C$21,I35+参数配置!$C$5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16" t="n"/>
      <c r="B36" s="15" t="n"/>
      <c r="C36" s="7">
        <f>IFERROR(参数配置!$C$5*B36,"")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IFERROR(IF(F36&gt;=参数配置!$C$18,0,IF(F36&lt;=参数配置!$C$21,MAX(0,MIN(C36-H36,参数配置!$C$5*参数配置!$C$13)),MAX(0,MIN(C36-H36,参数配置!$C$5*参数配置!$C$12)))),"")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$5*参数配置!$D$23,IF(F36&lt;=参数配置!$C$22,I36+参数配置!$C$5*参数配置!$D$22,IF(F36&lt;=参数配置!$C$21,I36+参数配置!$C$5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16" t="n"/>
      <c r="B37" s="15" t="n"/>
      <c r="C37" s="7">
        <f>IFERROR(参数配置!$C$5*B37,"")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IFERROR(IF(F37&gt;=参数配置!$C$18,0,IF(F37&lt;=参数配置!$C$21,MAX(0,MIN(C37-H37,参数配置!$C$5*参数配置!$C$13)),MAX(0,MIN(C37-H37,参数配置!$C$5*参数配置!$C$12)))),"")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$5*参数配置!$D$23,IF(F37&lt;=参数配置!$C$22,I37+参数配置!$C$5*参数配置!$D$22,IF(F37&lt;=参数配置!$C$21,I37+参数配置!$C$5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16" t="n"/>
      <c r="B38" s="15" t="n"/>
      <c r="C38" s="7">
        <f>IFERROR(参数配置!$C$5*B38,"")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IFERROR(IF(F38&gt;=参数配置!$C$18,0,IF(F38&lt;=参数配置!$C$21,MAX(0,MIN(C38-H38,参数配置!$C$5*参数配置!$C$13)),MAX(0,MIN(C38-H38,参数配置!$C$5*参数配置!$C$12)))),"")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$5*参数配置!$D$23,IF(F38&lt;=参数配置!$C$22,I38+参数配置!$C$5*参数配置!$D$22,IF(F38&lt;=参数配置!$C$21,I38+参数配置!$C$5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16" t="n"/>
      <c r="B39" s="15" t="n"/>
      <c r="C39" s="7">
        <f>IFERROR(参数配置!$C$5*B39,"")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IFERROR(IF(F39&gt;=参数配置!$C$18,0,IF(F39&lt;=参数配置!$C$21,MAX(0,MIN(C39-H39,参数配置!$C$5*参数配置!$C$13)),MAX(0,MIN(C39-H39,参数配置!$C$5*参数配置!$C$12)))),"")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$5*参数配置!$D$23,IF(F39&lt;=参数配置!$C$22,I39+参数配置!$C$5*参数配置!$D$22,IF(F39&lt;=参数配置!$C$21,I39+参数配置!$C$5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16" t="n"/>
      <c r="B40" s="15" t="n"/>
      <c r="C40" s="7">
        <f>IFERROR(参数配置!$C$5*B40,"")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IFERROR(IF(F40&gt;=参数配置!$C$18,0,IF(F40&lt;=参数配置!$C$21,MAX(0,MIN(C40-H40,参数配置!$C$5*参数配置!$C$13)),MAX(0,MIN(C40-H40,参数配置!$C$5*参数配置!$C$12)))),"")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$5*参数配置!$D$23,IF(F40&lt;=参数配置!$C$22,I40+参数配置!$C$5*参数配置!$D$22,IF(F40&lt;=参数配置!$C$21,I40+参数配置!$C$5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16" t="n"/>
      <c r="B41" s="15" t="n"/>
      <c r="C41" s="7">
        <f>IFERROR(参数配置!$C$5*B41,"")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IFERROR(IF(F41&gt;=参数配置!$C$18,0,IF(F41&lt;=参数配置!$C$21,MAX(0,MIN(C41-H41,参数配置!$C$5*参数配置!$C$13)),MAX(0,MIN(C41-H41,参数配置!$C$5*参数配置!$C$12)))),"")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$5*参数配置!$D$23,IF(F41&lt;=参数配置!$C$22,I41+参数配置!$C$5*参数配置!$D$22,IF(F41&lt;=参数配置!$C$21,I41+参数配置!$C$5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16" t="n"/>
      <c r="B42" s="15" t="n"/>
      <c r="C42" s="7">
        <f>IFERROR(参数配置!$C$5*B42,"")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IFERROR(IF(F42&gt;=参数配置!$C$18,0,IF(F42&lt;=参数配置!$C$21,MAX(0,MIN(C42-H42,参数配置!$C$5*参数配置!$C$13)),MAX(0,MIN(C42-H42,参数配置!$C$5*参数配置!$C$12)))),"")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$5*参数配置!$D$23,IF(F42&lt;=参数配置!$C$22,I42+参数配置!$C$5*参数配置!$D$22,IF(F42&lt;=参数配置!$C$21,I42+参数配置!$C$5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16" t="n"/>
      <c r="B43" s="15" t="n"/>
      <c r="C43" s="7">
        <f>IFERROR(参数配置!$C$5*B43,"")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IFERROR(IF(F43&gt;=参数配置!$C$18,0,IF(F43&lt;=参数配置!$C$21,MAX(0,MIN(C43-H43,参数配置!$C$5*参数配置!$C$13)),MAX(0,MIN(C43-H43,参数配置!$C$5*参数配置!$C$12)))),"")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$5*参数配置!$D$23,IF(F43&lt;=参数配置!$C$22,I43+参数配置!$C$5*参数配置!$D$22,IF(F43&lt;=参数配置!$C$21,I43+参数配置!$C$5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16" t="n"/>
      <c r="B44" s="15" t="n"/>
      <c r="C44" s="7">
        <f>IFERROR(参数配置!$C$5*B44,"")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IFERROR(IF(F44&gt;=参数配置!$C$18,0,IF(F44&lt;=参数配置!$C$21,MAX(0,MIN(C44-H44,参数配置!$C$5*参数配置!$C$13)),MAX(0,MIN(C44-H44,参数配置!$C$5*参数配置!$C$12)))),"")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$5*参数配置!$D$23,IF(F44&lt;=参数配置!$C$22,I44+参数配置!$C$5*参数配置!$D$22,IF(F44&lt;=参数配置!$C$21,I44+参数配置!$C$5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16" t="n"/>
      <c r="B45" s="15" t="n"/>
      <c r="C45" s="7">
        <f>IFERROR(参数配置!$C$5*B45,"")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IFERROR(IF(F45&gt;=参数配置!$C$18,0,IF(F45&lt;=参数配置!$C$21,MAX(0,MIN(C45-H45,参数配置!$C$5*参数配置!$C$13)),MAX(0,MIN(C45-H45,参数配置!$C$5*参数配置!$C$12)))),"")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$5*参数配置!$D$23,IF(F45&lt;=参数配置!$C$22,I45+参数配置!$C$5*参数配置!$D$22,IF(F45&lt;=参数配置!$C$21,I45+参数配置!$C$5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16" t="n"/>
      <c r="B46" s="15" t="n"/>
      <c r="C46" s="7">
        <f>IFERROR(参数配置!$C$5*B46,"")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IFERROR(IF(F46&gt;=参数配置!$C$18,0,IF(F46&lt;=参数配置!$C$21,MAX(0,MIN(C46-H46,参数配置!$C$5*参数配置!$C$13)),MAX(0,MIN(C46-H46,参数配置!$C$5*参数配置!$C$12)))),"")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$5*参数配置!$D$23,IF(F46&lt;=参数配置!$C$22,I46+参数配置!$C$5*参数配置!$D$22,IF(F46&lt;=参数配置!$C$21,I46+参数配置!$C$5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16" t="n"/>
      <c r="B47" s="15" t="n"/>
      <c r="C47" s="7">
        <f>IFERROR(参数配置!$C$5*B47,"")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IFERROR(IF(F47&gt;=参数配置!$C$18,0,IF(F47&lt;=参数配置!$C$21,MAX(0,MIN(C47-H47,参数配置!$C$5*参数配置!$C$13)),MAX(0,MIN(C47-H47,参数配置!$C$5*参数配置!$C$12)))),"")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$5*参数配置!$D$23,IF(F47&lt;=参数配置!$C$22,I47+参数配置!$C$5*参数配置!$D$22,IF(F47&lt;=参数配置!$C$21,I47+参数配置!$C$5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16" t="n"/>
      <c r="B48" s="15" t="n"/>
      <c r="C48" s="7">
        <f>IFERROR(参数配置!$C$5*B48,"")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IFERROR(IF(F48&gt;=参数配置!$C$18,0,IF(F48&lt;=参数配置!$C$21,MAX(0,MIN(C48-H48,参数配置!$C$5*参数配置!$C$13)),MAX(0,MIN(C48-H48,参数配置!$C$5*参数配置!$C$12)))),"")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$5*参数配置!$D$23,IF(F48&lt;=参数配置!$C$22,I48+参数配置!$C$5*参数配置!$D$22,IF(F48&lt;=参数配置!$C$21,I48+参数配置!$C$5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16" t="n"/>
      <c r="B49" s="15" t="n"/>
      <c r="C49" s="7">
        <f>IFERROR(参数配置!$C$5*B49,"")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IFERROR(IF(F49&gt;=参数配置!$C$18,0,IF(F49&lt;=参数配置!$C$21,MAX(0,MIN(C49-H49,参数配置!$C$5*参数配置!$C$13)),MAX(0,MIN(C49-H49,参数配置!$C$5*参数配置!$C$12)))),"")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$5*参数配置!$D$23,IF(F49&lt;=参数配置!$C$22,I49+参数配置!$C$5*参数配置!$D$22,IF(F49&lt;=参数配置!$C$21,I49+参数配置!$C$5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16" t="n"/>
      <c r="B50" s="15" t="n"/>
      <c r="C50" s="7">
        <f>IFERROR(参数配置!$C$5*B50,"")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IFERROR(IF(F50&gt;=参数配置!$C$18,0,IF(F50&lt;=参数配置!$C$21,MAX(0,MIN(C50-H50,参数配置!$C$5*参数配置!$C$13)),MAX(0,MIN(C50-H50,参数配置!$C$5*参数配置!$C$12)))),"")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$5*参数配置!$D$23,IF(F50&lt;=参数配置!$C$22,I50+参数配置!$C$5*参数配置!$D$22,IF(F50&lt;=参数配置!$C$21,I50+参数配置!$C$5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16" t="n"/>
      <c r="B51" s="15" t="n"/>
      <c r="C51" s="7">
        <f>IFERROR(参数配置!$C$5*B51,"")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IFERROR(IF(F51&gt;=参数配置!$C$18,0,IF(F51&lt;=参数配置!$C$21,MAX(0,MIN(C51-H51,参数配置!$C$5*参数配置!$C$13)),MAX(0,MIN(C51-H51,参数配置!$C$5*参数配置!$C$12)))),"")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$5*参数配置!$D$23,IF(F51&lt;=参数配置!$C$22,I51+参数配置!$C$5*参数配置!$D$22,IF(F51&lt;=参数配置!$C$21,I51+参数配置!$C$5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16" t="n"/>
      <c r="B52" s="15" t="n"/>
      <c r="C52" s="7">
        <f>IFERROR(参数配置!$C$5*B52,"")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IFERROR(IF(F52&gt;=参数配置!$C$18,0,IF(F52&lt;=参数配置!$C$21,MAX(0,MIN(C52-H52,参数配置!$C$5*参数配置!$C$13)),MAX(0,MIN(C52-H52,参数配置!$C$5*参数配置!$C$12)))),"")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$5*参数配置!$D$23,IF(F52&lt;=参数配置!$C$22,I52+参数配置!$C$5*参数配置!$D$22,IF(F52&lt;=参数配置!$C$21,I52+参数配置!$C$5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16" t="n"/>
      <c r="B53" s="15" t="n"/>
      <c r="C53" s="7">
        <f>IFERROR(参数配置!$C$5*B53,"")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IFERROR(IF(F53&gt;=参数配置!$C$18,0,IF(F53&lt;=参数配置!$C$21,MAX(0,MIN(C53-H53,参数配置!$C$5*参数配置!$C$13)),MAX(0,MIN(C53-H53,参数配置!$C$5*参数配置!$C$12)))),"")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$5*参数配置!$D$23,IF(F53&lt;=参数配置!$C$22,I53+参数配置!$C$5*参数配置!$D$22,IF(F53&lt;=参数配置!$C$21,I53+参数配置!$C$5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16" t="n"/>
      <c r="B54" s="15" t="n"/>
      <c r="C54" s="7">
        <f>IFERROR(参数配置!$C$5*B54,"")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IFERROR(IF(F54&gt;=参数配置!$C$18,0,IF(F54&lt;=参数配置!$C$21,MAX(0,MIN(C54-H54,参数配置!$C$5*参数配置!$C$13)),MAX(0,MIN(C54-H54,参数配置!$C$5*参数配置!$C$12)))),"")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$5*参数配置!$D$23,IF(F54&lt;=参数配置!$C$22,I54+参数配置!$C$5*参数配置!$D$22,IF(F54&lt;=参数配置!$C$21,I54+参数配置!$C$5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16" t="n"/>
      <c r="B55" s="15" t="n"/>
      <c r="C55" s="7">
        <f>IFERROR(参数配置!$C$5*B55,"")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IFERROR(IF(F55&gt;=参数配置!$C$18,0,IF(F55&lt;=参数配置!$C$21,MAX(0,MIN(C55-H55,参数配置!$C$5*参数配置!$C$13)),MAX(0,MIN(C55-H55,参数配置!$C$5*参数配置!$C$12)))),"")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$5*参数配置!$D$23,IF(F55&lt;=参数配置!$C$22,I55+参数配置!$C$5*参数配置!$D$22,IF(F55&lt;=参数配置!$C$21,I55+参数配置!$C$5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16" t="n"/>
      <c r="B56" s="15" t="n"/>
      <c r="C56" s="7">
        <f>IFERROR(参数配置!$C$5*B56,"")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IFERROR(IF(F56&gt;=参数配置!$C$18,0,IF(F56&lt;=参数配置!$C$21,MAX(0,MIN(C56-H56,参数配置!$C$5*参数配置!$C$13)),MAX(0,MIN(C56-H56,参数配置!$C$5*参数配置!$C$12)))),"")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$5*参数配置!$D$23,IF(F56&lt;=参数配置!$C$22,I56+参数配置!$C$5*参数配置!$D$22,IF(F56&lt;=参数配置!$C$21,I56+参数配置!$C$5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16" t="n"/>
      <c r="B57" s="15" t="n"/>
      <c r="C57" s="7">
        <f>IFERROR(参数配置!$C$5*B57,"")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IFERROR(IF(F57&gt;=参数配置!$C$18,0,IF(F57&lt;=参数配置!$C$21,MAX(0,MIN(C57-H57,参数配置!$C$5*参数配置!$C$13)),MAX(0,MIN(C57-H57,参数配置!$C$5*参数配置!$C$12)))),"")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$5*参数配置!$D$23,IF(F57&lt;=参数配置!$C$22,I57+参数配置!$C$5*参数配置!$D$22,IF(F57&lt;=参数配置!$C$21,I57+参数配置!$C$5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16" t="n"/>
      <c r="B58" s="15" t="n"/>
      <c r="C58" s="7">
        <f>IFERROR(参数配置!$C$5*B58,"")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IFERROR(IF(F58&gt;=参数配置!$C$18,0,IF(F58&lt;=参数配置!$C$21,MAX(0,MIN(C58-H58,参数配置!$C$5*参数配置!$C$13)),MAX(0,MIN(C58-H58,参数配置!$C$5*参数配置!$C$12)))),"")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$5*参数配置!$D$23,IF(F58&lt;=参数配置!$C$22,I58+参数配置!$C$5*参数配置!$D$22,IF(F58&lt;=参数配置!$C$21,I58+参数配置!$C$5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16" t="n"/>
      <c r="B59" s="15" t="n"/>
      <c r="C59" s="7">
        <f>IFERROR(参数配置!$C$5*B59,"")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IFERROR(IF(F59&gt;=参数配置!$C$18,0,IF(F59&lt;=参数配置!$C$21,MAX(0,MIN(C59-H59,参数配置!$C$5*参数配置!$C$13)),MAX(0,MIN(C59-H59,参数配置!$C$5*参数配置!$C$12)))),"")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$5*参数配置!$D$23,IF(F59&lt;=参数配置!$C$22,I59+参数配置!$C$5*参数配置!$D$22,IF(F59&lt;=参数配置!$C$21,I59+参数配置!$C$5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16" t="n"/>
      <c r="B60" s="15" t="n"/>
      <c r="C60" s="7">
        <f>IFERROR(参数配置!$C$5*B60,"")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IFERROR(IF(F60&gt;=参数配置!$C$18,0,IF(F60&lt;=参数配置!$C$21,MAX(0,MIN(C60-H60,参数配置!$C$5*参数配置!$C$13)),MAX(0,MIN(C60-H60,参数配置!$C$5*参数配置!$C$12)))),"")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$5*参数配置!$D$23,IF(F60&lt;=参数配置!$C$22,I60+参数配置!$C$5*参数配置!$D$22,IF(F60&lt;=参数配置!$C$21,I60+参数配置!$C$5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16" t="n"/>
      <c r="B61" s="15" t="n"/>
      <c r="C61" s="7">
        <f>IFERROR(参数配置!$C$5*B61,"")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IFERROR(IF(F61&gt;=参数配置!$C$18,0,IF(F61&lt;=参数配置!$C$21,MAX(0,MIN(C61-H61,参数配置!$C$5*参数配置!$C$13)),MAX(0,MIN(C61-H61,参数配置!$C$5*参数配置!$C$12)))),"")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$5*参数配置!$D$23,IF(F61&lt;=参数配置!$C$22,I61+参数配置!$C$5*参数配置!$D$22,IF(F61&lt;=参数配置!$C$21,I61+参数配置!$C$5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16" t="n"/>
      <c r="B62" s="15" t="n"/>
      <c r="C62" s="7">
        <f>IFERROR(参数配置!$C$5*B62,"")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IFERROR(IF(F62&gt;=参数配置!$C$18,0,IF(F62&lt;=参数配置!$C$21,MAX(0,MIN(C62-H62,参数配置!$C$5*参数配置!$C$13)),MAX(0,MIN(C62-H62,参数配置!$C$5*参数配置!$C$12)))),"")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$5*参数配置!$D$23,IF(F62&lt;=参数配置!$C$22,I62+参数配置!$C$5*参数配置!$D$22,IF(F62&lt;=参数配置!$C$21,I62+参数配置!$C$5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16" t="n"/>
      <c r="B63" s="15" t="n"/>
      <c r="C63" s="7">
        <f>IFERROR(参数配置!$C$5*B63,"")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IFERROR(IF(F63&gt;=参数配置!$C$18,0,IF(F63&lt;=参数配置!$C$21,MAX(0,MIN(C63-H63,参数配置!$C$5*参数配置!$C$13)),MAX(0,MIN(C63-H63,参数配置!$C$5*参数配置!$C$12)))),"")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$5*参数配置!$D$23,IF(F63&lt;=参数配置!$C$22,I63+参数配置!$C$5*参数配置!$D$22,IF(F63&lt;=参数配置!$C$21,I63+参数配置!$C$5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16" t="n"/>
      <c r="B64" s="15" t="n"/>
      <c r="C64" s="7">
        <f>IFERROR(参数配置!$C$5*B64,"")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IFERROR(IF(F64&gt;=参数配置!$C$18,0,IF(F64&lt;=参数配置!$C$21,MAX(0,MIN(C64-H64,参数配置!$C$5*参数配置!$C$13)),MAX(0,MIN(C64-H64,参数配置!$C$5*参数配置!$C$12)))),"")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$5*参数配置!$D$23,IF(F64&lt;=参数配置!$C$22,I64+参数配置!$C$5*参数配置!$D$22,IF(F64&lt;=参数配置!$C$21,I64+参数配置!$C$5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16" t="n"/>
      <c r="B65" s="15" t="n"/>
      <c r="C65" s="7">
        <f>IFERROR(参数配置!$C$5*B65,"")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IFERROR(IF(F65&gt;=参数配置!$C$18,0,IF(F65&lt;=参数配置!$C$21,MAX(0,MIN(C65-H65,参数配置!$C$5*参数配置!$C$13)),MAX(0,MIN(C65-H65,参数配置!$C$5*参数配置!$C$12)))),"")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$5*参数配置!$D$23,IF(F65&lt;=参数配置!$C$22,I65+参数配置!$C$5*参数配置!$D$22,IF(F65&lt;=参数配置!$C$21,I65+参数配置!$C$5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16" t="n"/>
      <c r="B66" s="15" t="n"/>
      <c r="C66" s="7">
        <f>IFERROR(参数配置!$C$5*B66,"")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IFERROR(IF(F66&gt;=参数配置!$C$18,0,IF(F66&lt;=参数配置!$C$21,MAX(0,MIN(C66-H66,参数配置!$C$5*参数配置!$C$13)),MAX(0,MIN(C66-H66,参数配置!$C$5*参数配置!$C$12)))),"")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$5*参数配置!$D$23,IF(F66&lt;=参数配置!$C$22,I66+参数配置!$C$5*参数配置!$D$22,IF(F66&lt;=参数配置!$C$21,I66+参数配置!$C$5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16" t="n"/>
      <c r="B67" s="15" t="n"/>
      <c r="C67" s="7">
        <f>IFERROR(参数配置!$C$5*B67,"")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IFERROR(IF(F67&gt;=参数配置!$C$18,0,IF(F67&lt;=参数配置!$C$21,MAX(0,MIN(C67-H67,参数配置!$C$5*参数配置!$C$13)),MAX(0,MIN(C67-H67,参数配置!$C$5*参数配置!$C$12)))),"")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$5*参数配置!$D$23,IF(F67&lt;=参数配置!$C$22,I67+参数配置!$C$5*参数配置!$D$22,IF(F67&lt;=参数配置!$C$21,I67+参数配置!$C$5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16" t="n"/>
      <c r="B68" s="15" t="n"/>
      <c r="C68" s="7">
        <f>IFERROR(参数配置!$C$5*B68,"")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IFERROR(IF(F68&gt;=参数配置!$C$18,0,IF(F68&lt;=参数配置!$C$21,MAX(0,MIN(C68-H68,参数配置!$C$5*参数配置!$C$13)),MAX(0,MIN(C68-H68,参数配置!$C$5*参数配置!$C$12)))),"")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$5*参数配置!$D$23,IF(F68&lt;=参数配置!$C$22,I68+参数配置!$C$5*参数配置!$D$22,IF(F68&lt;=参数配置!$C$21,I68+参数配置!$C$5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16" t="n"/>
      <c r="B69" s="15" t="n"/>
      <c r="C69" s="7">
        <f>IFERROR(参数配置!$C$5*B69,"")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IFERROR(IF(F69&gt;=参数配置!$C$18,0,IF(F69&lt;=参数配置!$C$21,MAX(0,MIN(C69-H69,参数配置!$C$5*参数配置!$C$13)),MAX(0,MIN(C69-H69,参数配置!$C$5*参数配置!$C$12)))),"")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$5*参数配置!$D$23,IF(F69&lt;=参数配置!$C$22,I69+参数配置!$C$5*参数配置!$D$22,IF(F69&lt;=参数配置!$C$21,I69+参数配置!$C$5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16" t="n"/>
      <c r="B70" s="15" t="n"/>
      <c r="C70" s="7">
        <f>IFERROR(参数配置!$C$5*B70,"")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IFERROR(IF(F70&gt;=参数配置!$C$18,0,IF(F70&lt;=参数配置!$C$21,MAX(0,MIN(C70-H70,参数配置!$C$5*参数配置!$C$13)),MAX(0,MIN(C70-H70,参数配置!$C$5*参数配置!$C$12)))),"")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$5*参数配置!$D$23,IF(F70&lt;=参数配置!$C$22,I70+参数配置!$C$5*参数配置!$D$22,IF(F70&lt;=参数配置!$C$21,I70+参数配置!$C$5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16" t="n"/>
      <c r="B71" s="15" t="n"/>
      <c r="C71" s="7">
        <f>IFERROR(参数配置!$C$5*B71,"")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IFERROR(IF(F71&gt;=参数配置!$C$18,0,IF(F71&lt;=参数配置!$C$21,MAX(0,MIN(C71-H71,参数配置!$C$5*参数配置!$C$13)),MAX(0,MIN(C71-H71,参数配置!$C$5*参数配置!$C$12)))),"")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$5*参数配置!$D$23,IF(F71&lt;=参数配置!$C$22,I71+参数配置!$C$5*参数配置!$D$22,IF(F71&lt;=参数配置!$C$21,I71+参数配置!$C$5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16" t="n"/>
      <c r="B72" s="15" t="n"/>
      <c r="C72" s="7">
        <f>IFERROR(参数配置!$C$5*B72,"")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IFERROR(IF(F72&gt;=参数配置!$C$18,0,IF(F72&lt;=参数配置!$C$21,MAX(0,MIN(C72-H72,参数配置!$C$5*参数配置!$C$13)),MAX(0,MIN(C72-H72,参数配置!$C$5*参数配置!$C$12)))),"")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$5*参数配置!$D$23,IF(F72&lt;=参数配置!$C$22,I72+参数配置!$C$5*参数配置!$D$22,IF(F72&lt;=参数配置!$C$21,I72+参数配置!$C$5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16" t="n"/>
      <c r="B73" s="15" t="n"/>
      <c r="C73" s="7">
        <f>IFERROR(参数配置!$C$5*B73,"")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IFERROR(IF(F73&gt;=参数配置!$C$18,0,IF(F73&lt;=参数配置!$C$21,MAX(0,MIN(C73-H73,参数配置!$C$5*参数配置!$C$13)),MAX(0,MIN(C73-H73,参数配置!$C$5*参数配置!$C$12)))),"")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$5*参数配置!$D$23,IF(F73&lt;=参数配置!$C$22,I73+参数配置!$C$5*参数配置!$D$22,IF(F73&lt;=参数配置!$C$21,I73+参数配置!$C$5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16" t="n"/>
      <c r="B74" s="15" t="n"/>
      <c r="C74" s="7">
        <f>IFERROR(参数配置!$C$5*B74,"")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IFERROR(IF(F74&gt;=参数配置!$C$18,0,IF(F74&lt;=参数配置!$C$21,MAX(0,MIN(C74-H74,参数配置!$C$5*参数配置!$C$13)),MAX(0,MIN(C74-H74,参数配置!$C$5*参数配置!$C$12)))),"")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$5*参数配置!$D$23,IF(F74&lt;=参数配置!$C$22,I74+参数配置!$C$5*参数配置!$D$22,IF(F74&lt;=参数配置!$C$21,I74+参数配置!$C$5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16" t="n"/>
      <c r="B75" s="15" t="n"/>
      <c r="C75" s="7">
        <f>IFERROR(参数配置!$C$5*B75,"")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IFERROR(IF(F75&gt;=参数配置!$C$18,0,IF(F75&lt;=参数配置!$C$21,MAX(0,MIN(C75-H75,参数配置!$C$5*参数配置!$C$13)),MAX(0,MIN(C75-H75,参数配置!$C$5*参数配置!$C$12)))),"")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$5*参数配置!$D$23,IF(F75&lt;=参数配置!$C$22,I75+参数配置!$C$5*参数配置!$D$22,IF(F75&lt;=参数配置!$C$21,I75+参数配置!$C$5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16" t="n"/>
      <c r="B76" s="15" t="n"/>
      <c r="C76" s="7">
        <f>IFERROR(参数配置!$C$5*B76,"")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IFERROR(IF(F76&gt;=参数配置!$C$18,0,IF(F76&lt;=参数配置!$C$21,MAX(0,MIN(C76-H76,参数配置!$C$5*参数配置!$C$13)),MAX(0,MIN(C76-H76,参数配置!$C$5*参数配置!$C$12)))),"")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$5*参数配置!$D$23,IF(F76&lt;=参数配置!$C$22,I76+参数配置!$C$5*参数配置!$D$22,IF(F76&lt;=参数配置!$C$21,I76+参数配置!$C$5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16" t="n"/>
      <c r="B77" s="15" t="n"/>
      <c r="C77" s="7">
        <f>IFERROR(参数配置!$C$5*B77,"")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IFERROR(IF(F77&gt;=参数配置!$C$18,0,IF(F77&lt;=参数配置!$C$21,MAX(0,MIN(C77-H77,参数配置!$C$5*参数配置!$C$13)),MAX(0,MIN(C77-H77,参数配置!$C$5*参数配置!$C$12)))),"")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$5*参数配置!$D$23,IF(F77&lt;=参数配置!$C$22,I77+参数配置!$C$5*参数配置!$D$22,IF(F77&lt;=参数配置!$C$21,I77+参数配置!$C$5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16" t="n"/>
      <c r="B78" s="15" t="n"/>
      <c r="C78" s="7">
        <f>IFERROR(参数配置!$C$5*B78,"")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IFERROR(IF(F78&gt;=参数配置!$C$18,0,IF(F78&lt;=参数配置!$C$21,MAX(0,MIN(C78-H78,参数配置!$C$5*参数配置!$C$13)),MAX(0,MIN(C78-H78,参数配置!$C$5*参数配置!$C$12)))),"")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$5*参数配置!$D$23,IF(F78&lt;=参数配置!$C$22,I78+参数配置!$C$5*参数配置!$D$22,IF(F78&lt;=参数配置!$C$21,I78+参数配置!$C$5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16" t="n"/>
      <c r="B79" s="15" t="n"/>
      <c r="C79" s="7">
        <f>IFERROR(参数配置!$C$5*B79,"")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IFERROR(IF(F79&gt;=参数配置!$C$18,0,IF(F79&lt;=参数配置!$C$21,MAX(0,MIN(C79-H79,参数配置!$C$5*参数配置!$C$13)),MAX(0,MIN(C79-H79,参数配置!$C$5*参数配置!$C$12)))),"")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$5*参数配置!$D$23,IF(F79&lt;=参数配置!$C$22,I79+参数配置!$C$5*参数配置!$D$22,IF(F79&lt;=参数配置!$C$21,I79+参数配置!$C$5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16" t="n"/>
      <c r="B80" s="15" t="n"/>
      <c r="C80" s="7">
        <f>IFERROR(参数配置!$C$5*B80,"")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IFERROR(IF(F80&gt;=参数配置!$C$18,0,IF(F80&lt;=参数配置!$C$21,MAX(0,MIN(C80-H80,参数配置!$C$5*参数配置!$C$13)),MAX(0,MIN(C80-H80,参数配置!$C$5*参数配置!$C$12)))),"")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$5*参数配置!$D$23,IF(F80&lt;=参数配置!$C$22,I80+参数配置!$C$5*参数配置!$D$22,IF(F80&lt;=参数配置!$C$21,I80+参数配置!$C$5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16" t="n"/>
      <c r="B81" s="15" t="n"/>
      <c r="C81" s="7">
        <f>IFERROR(参数配置!$C$5*B81,"")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IFERROR(IF(F81&gt;=参数配置!$C$18,0,IF(F81&lt;=参数配置!$C$21,MAX(0,MIN(C81-H81,参数配置!$C$5*参数配置!$C$13)),MAX(0,MIN(C81-H81,参数配置!$C$5*参数配置!$C$12)))),"")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$5*参数配置!$D$23,IF(F81&lt;=参数配置!$C$22,I81+参数配置!$C$5*参数配置!$D$22,IF(F81&lt;=参数配置!$C$21,I81+参数配置!$C$5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16" t="n"/>
      <c r="B82" s="15" t="n"/>
      <c r="C82" s="7">
        <f>IFERROR(参数配置!$C$5*B82,"")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IFERROR(IF(F82&gt;=参数配置!$C$18,0,IF(F82&lt;=参数配置!$C$21,MAX(0,MIN(C82-H82,参数配置!$C$5*参数配置!$C$13)),MAX(0,MIN(C82-H82,参数配置!$C$5*参数配置!$C$12)))),"")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$5*参数配置!$D$23,IF(F82&lt;=参数配置!$C$22,I82+参数配置!$C$5*参数配置!$D$22,IF(F82&lt;=参数配置!$C$21,I82+参数配置!$C$5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16" t="n"/>
      <c r="B83" s="15" t="n"/>
      <c r="C83" s="7">
        <f>IFERROR(参数配置!$C$5*B83,"")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IFERROR(IF(F83&gt;=参数配置!$C$18,0,IF(F83&lt;=参数配置!$C$21,MAX(0,MIN(C83-H83,参数配置!$C$5*参数配置!$C$13)),MAX(0,MIN(C83-H83,参数配置!$C$5*参数配置!$C$12)))),"")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$5*参数配置!$D$23,IF(F83&lt;=参数配置!$C$22,I83+参数配置!$C$5*参数配置!$D$22,IF(F83&lt;=参数配置!$C$21,I83+参数配置!$C$5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16" t="n"/>
      <c r="B84" s="15" t="n"/>
      <c r="C84" s="7">
        <f>IFERROR(参数配置!$C$5*B84,"")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IFERROR(IF(F84&gt;=参数配置!$C$18,0,IF(F84&lt;=参数配置!$C$21,MAX(0,MIN(C84-H84,参数配置!$C$5*参数配置!$C$13)),MAX(0,MIN(C84-H84,参数配置!$C$5*参数配置!$C$12)))),"")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$5*参数配置!$D$23,IF(F84&lt;=参数配置!$C$22,I84+参数配置!$C$5*参数配置!$D$22,IF(F84&lt;=参数配置!$C$21,I84+参数配置!$C$5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16" t="n"/>
      <c r="B85" s="15" t="n"/>
      <c r="C85" s="7">
        <f>IFERROR(参数配置!$C$5*B85,"")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IFERROR(IF(F85&gt;=参数配置!$C$18,0,IF(F85&lt;=参数配置!$C$21,MAX(0,MIN(C85-H85,参数配置!$C$5*参数配置!$C$13)),MAX(0,MIN(C85-H85,参数配置!$C$5*参数配置!$C$12)))),"")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$5*参数配置!$D$23,IF(F85&lt;=参数配置!$C$22,I85+参数配置!$C$5*参数配置!$D$22,IF(F85&lt;=参数配置!$C$21,I85+参数配置!$C$5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16" t="n"/>
      <c r="B86" s="15" t="n"/>
      <c r="C86" s="7">
        <f>IFERROR(参数配置!$C$5*B86,"")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IFERROR(IF(F86&gt;=参数配置!$C$18,0,IF(F86&lt;=参数配置!$C$21,MAX(0,MIN(C86-H86,参数配置!$C$5*参数配置!$C$13)),MAX(0,MIN(C86-H86,参数配置!$C$5*参数配置!$C$12)))),"")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$5*参数配置!$D$23,IF(F86&lt;=参数配置!$C$22,I86+参数配置!$C$5*参数配置!$D$22,IF(F86&lt;=参数配置!$C$21,I86+参数配置!$C$5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16" t="n"/>
      <c r="B87" s="15" t="n"/>
      <c r="C87" s="7">
        <f>IFERROR(参数配置!$C$5*B87,"")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IFERROR(IF(F87&gt;=参数配置!$C$18,0,IF(F87&lt;=参数配置!$C$21,MAX(0,MIN(C87-H87,参数配置!$C$5*参数配置!$C$13)),MAX(0,MIN(C87-H87,参数配置!$C$5*参数配置!$C$12)))),"")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$5*参数配置!$D$23,IF(F87&lt;=参数配置!$C$22,I87+参数配置!$C$5*参数配置!$D$22,IF(F87&lt;=参数配置!$C$21,I87+参数配置!$C$5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16" t="n"/>
      <c r="B88" s="15" t="n"/>
      <c r="C88" s="7">
        <f>IFERROR(参数配置!$C$5*B88,"")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IFERROR(IF(F88&gt;=参数配置!$C$18,0,IF(F88&lt;=参数配置!$C$21,MAX(0,MIN(C88-H88,参数配置!$C$5*参数配置!$C$13)),MAX(0,MIN(C88-H88,参数配置!$C$5*参数配置!$C$12)))),"")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$5*参数配置!$D$23,IF(F88&lt;=参数配置!$C$22,I88+参数配置!$C$5*参数配置!$D$22,IF(F88&lt;=参数配置!$C$21,I88+参数配置!$C$5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16" t="n"/>
      <c r="B89" s="15" t="n"/>
      <c r="C89" s="7">
        <f>IFERROR(参数配置!$C$5*B89,"")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IFERROR(IF(F89&gt;=参数配置!$C$18,0,IF(F89&lt;=参数配置!$C$21,MAX(0,MIN(C89-H89,参数配置!$C$5*参数配置!$C$13)),MAX(0,MIN(C89-H89,参数配置!$C$5*参数配置!$C$12)))),"")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$5*参数配置!$D$23,IF(F89&lt;=参数配置!$C$22,I89+参数配置!$C$5*参数配置!$D$22,IF(F89&lt;=参数配置!$C$21,I89+参数配置!$C$5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16" t="n"/>
      <c r="B90" s="15" t="n"/>
      <c r="C90" s="7">
        <f>IFERROR(参数配置!$C$5*B90,"")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IFERROR(IF(F90&gt;=参数配置!$C$18,0,IF(F90&lt;=参数配置!$C$21,MAX(0,MIN(C90-H90,参数配置!$C$5*参数配置!$C$13)),MAX(0,MIN(C90-H90,参数配置!$C$5*参数配置!$C$12)))),"")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$5*参数配置!$D$23,IF(F90&lt;=参数配置!$C$22,I90+参数配置!$C$5*参数配置!$D$22,IF(F90&lt;=参数配置!$C$21,I90+参数配置!$C$5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16" t="n"/>
      <c r="B91" s="15" t="n"/>
      <c r="C91" s="7">
        <f>IFERROR(参数配置!$C$5*B91,"")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IFERROR(IF(F91&gt;=参数配置!$C$18,0,IF(F91&lt;=参数配置!$C$21,MAX(0,MIN(C91-H91,参数配置!$C$5*参数配置!$C$13)),MAX(0,MIN(C91-H91,参数配置!$C$5*参数配置!$C$12)))),"")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$5*参数配置!$D$23,IF(F91&lt;=参数配置!$C$22,I91+参数配置!$C$5*参数配置!$D$22,IF(F91&lt;=参数配置!$C$21,I91+参数配置!$C$5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16" t="n"/>
      <c r="B92" s="15" t="n"/>
      <c r="C92" s="7">
        <f>IFERROR(参数配置!$C$5*B92,"")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IFERROR(IF(F92&gt;=参数配置!$C$18,0,IF(F92&lt;=参数配置!$C$21,MAX(0,MIN(C92-H92,参数配置!$C$5*参数配置!$C$13)),MAX(0,MIN(C92-H92,参数配置!$C$5*参数配置!$C$12)))),"")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$5*参数配置!$D$23,IF(F92&lt;=参数配置!$C$22,I92+参数配置!$C$5*参数配置!$D$22,IF(F92&lt;=参数配置!$C$21,I92+参数配置!$C$5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16" t="n"/>
      <c r="B93" s="15" t="n"/>
      <c r="C93" s="7">
        <f>IFERROR(参数配置!$C$5*B93,"")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IFERROR(IF(F93&gt;=参数配置!$C$18,0,IF(F93&lt;=参数配置!$C$21,MAX(0,MIN(C93-H93,参数配置!$C$5*参数配置!$C$13)),MAX(0,MIN(C93-H93,参数配置!$C$5*参数配置!$C$12)))),"")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$5*参数配置!$D$23,IF(F93&lt;=参数配置!$C$22,I93+参数配置!$C$5*参数配置!$D$22,IF(F93&lt;=参数配置!$C$21,I93+参数配置!$C$5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16" t="n"/>
      <c r="B94" s="15" t="n"/>
      <c r="C94" s="7">
        <f>IFERROR(参数配置!$C$5*B94,"")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IFERROR(IF(F94&gt;=参数配置!$C$18,0,IF(F94&lt;=参数配置!$C$21,MAX(0,MIN(C94-H94,参数配置!$C$5*参数配置!$C$13)),MAX(0,MIN(C94-H94,参数配置!$C$5*参数配置!$C$12)))),"")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$5*参数配置!$D$23,IF(F94&lt;=参数配置!$C$22,I94+参数配置!$C$5*参数配置!$D$22,IF(F94&lt;=参数配置!$C$21,I94+参数配置!$C$5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16" t="n"/>
      <c r="B95" s="15" t="n"/>
      <c r="C95" s="7">
        <f>IFERROR(参数配置!$C$5*B95,"")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IFERROR(IF(F95&gt;=参数配置!$C$18,0,IF(F95&lt;=参数配置!$C$21,MAX(0,MIN(C95-H95,参数配置!$C$5*参数配置!$C$13)),MAX(0,MIN(C95-H95,参数配置!$C$5*参数配置!$C$12)))),"")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$5*参数配置!$D$23,IF(F95&lt;=参数配置!$C$22,I95+参数配置!$C$5*参数配置!$D$22,IF(F95&lt;=参数配置!$C$21,I95+参数配置!$C$5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16" t="n"/>
      <c r="B96" s="15" t="n"/>
      <c r="C96" s="7">
        <f>IFERROR(参数配置!$C$5*B96,"")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IFERROR(IF(F96&gt;=参数配置!$C$18,0,IF(F96&lt;=参数配置!$C$21,MAX(0,MIN(C96-H96,参数配置!$C$5*参数配置!$C$13)),MAX(0,MIN(C96-H96,参数配置!$C$5*参数配置!$C$12)))),"")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$5*参数配置!$D$23,IF(F96&lt;=参数配置!$C$22,I96+参数配置!$C$5*参数配置!$D$22,IF(F96&lt;=参数配置!$C$21,I96+参数配置!$C$5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16" t="n"/>
      <c r="B97" s="15" t="n"/>
      <c r="C97" s="7">
        <f>IFERROR(参数配置!$C$5*B97,"")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IFERROR(IF(F97&gt;=参数配置!$C$18,0,IF(F97&lt;=参数配置!$C$21,MAX(0,MIN(C97-H97,参数配置!$C$5*参数配置!$C$13)),MAX(0,MIN(C97-H97,参数配置!$C$5*参数配置!$C$12)))),"")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$5*参数配置!$D$23,IF(F97&lt;=参数配置!$C$22,I97+参数配置!$C$5*参数配置!$D$22,IF(F97&lt;=参数配置!$C$21,I97+参数配置!$C$5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16" t="n"/>
      <c r="B98" s="15" t="n"/>
      <c r="C98" s="7">
        <f>IFERROR(参数配置!$C$5*B98,"")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IFERROR(IF(F98&gt;=参数配置!$C$18,0,IF(F98&lt;=参数配置!$C$21,MAX(0,MIN(C98-H98,参数配置!$C$5*参数配置!$C$13)),MAX(0,MIN(C98-H98,参数配置!$C$5*参数配置!$C$12)))),"")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$5*参数配置!$D$23,IF(F98&lt;=参数配置!$C$22,I98+参数配置!$C$5*参数配置!$D$22,IF(F98&lt;=参数配置!$C$21,I98+参数配置!$C$5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16" t="n"/>
      <c r="B99" s="15" t="n"/>
      <c r="C99" s="7">
        <f>IFERROR(参数配置!$C$5*B99,"")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IFERROR(IF(F99&gt;=参数配置!$C$18,0,IF(F99&lt;=参数配置!$C$21,MAX(0,MIN(C99-H99,参数配置!$C$5*参数配置!$C$13)),MAX(0,MIN(C99-H99,参数配置!$C$5*参数配置!$C$12)))),"")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$5*参数配置!$D$23,IF(F99&lt;=参数配置!$C$22,I99+参数配置!$C$5*参数配置!$D$22,IF(F99&lt;=参数配置!$C$21,I99+参数配置!$C$5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16" t="n"/>
      <c r="B100" s="15" t="n"/>
      <c r="C100" s="7">
        <f>IFERROR(参数配置!$C$5*B100,"")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IFERROR(IF(F100&gt;=参数配置!$C$18,0,IF(F100&lt;=参数配置!$C$21,MAX(0,MIN(C100-H100,参数配置!$C$5*参数配置!$C$13)),MAX(0,MIN(C100-H100,参数配置!$C$5*参数配置!$C$12)))),"")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$5*参数配置!$D$23,IF(F100&lt;=参数配置!$C$22,I100+参数配置!$C$5*参数配置!$D$22,IF(F100&lt;=参数配置!$C$21,I100+参数配置!$C$5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16" t="n"/>
      <c r="B101" s="15" t="n"/>
      <c r="C101" s="7">
        <f>IFERROR(参数配置!$C$5*B101,"")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IFERROR(IF(F101&gt;=参数配置!$C$18,0,IF(F101&lt;=参数配置!$C$21,MAX(0,MIN(C101-H101,参数配置!$C$5*参数配置!$C$13)),MAX(0,MIN(C101-H101,参数配置!$C$5*参数配置!$C$12)))),"")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$5*参数配置!$D$23,IF(F101&lt;=参数配置!$C$22,I101+参数配置!$C$5*参数配置!$D$22,IF(F101&lt;=参数配置!$C$21,I101+参数配置!$C$5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16" t="n"/>
      <c r="B102" s="15" t="n"/>
      <c r="C102" s="7">
        <f>IFERROR(参数配置!$C$5*B102,"")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IFERROR(IF(F102&gt;=参数配置!$C$18,0,IF(F102&lt;=参数配置!$C$21,MAX(0,MIN(C102-H102,参数配置!$C$5*参数配置!$C$13)),MAX(0,MIN(C102-H102,参数配置!$C$5*参数配置!$C$12)))),"")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$5*参数配置!$D$23,IF(F102&lt;=参数配置!$C$22,I102+参数配置!$C$5*参数配置!$D$22,IF(F102&lt;=参数配置!$C$21,I102+参数配置!$C$5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16" t="n"/>
      <c r="B103" s="15" t="n"/>
      <c r="C103" s="7">
        <f>IFERROR(参数配置!$C$5*B103,"")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IFERROR(IF(F103&gt;=参数配置!$C$18,0,IF(F103&lt;=参数配置!$C$21,MAX(0,MIN(C103-H103,参数配置!$C$5*参数配置!$C$13)),MAX(0,MIN(C103-H103,参数配置!$C$5*参数配置!$C$12)))),"")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$5*参数配置!$D$23,IF(F103&lt;=参数配置!$C$22,I103+参数配置!$C$5*参数配置!$D$22,IF(F103&lt;=参数配置!$C$21,I103+参数配置!$C$5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16" t="n"/>
      <c r="B104" s="15" t="n"/>
      <c r="C104" s="7">
        <f>IFERROR(参数配置!$C$5*B104,"")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IFERROR(IF(F104&gt;=参数配置!$C$18,0,IF(F104&lt;=参数配置!$C$21,MAX(0,MIN(C104-H104,参数配置!$C$5*参数配置!$C$13)),MAX(0,MIN(C104-H104,参数配置!$C$5*参数配置!$C$12)))),"")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$5*参数配置!$D$23,IF(F104&lt;=参数配置!$C$22,I104+参数配置!$C$5*参数配置!$D$22,IF(F104&lt;=参数配置!$C$21,I104+参数配置!$C$5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IFERROR(参数配置!$C$6*B5,"")</f>
        <v/>
      </c>
      <c r="D5" s="26" t="n"/>
      <c r="E5" s="26" t="n"/>
      <c r="F5" s="27">
        <f>IFERROR((D5-E5)/E5,"")</f>
        <v/>
      </c>
      <c r="G5" s="26" t="n"/>
      <c r="H5" s="7">
        <f>IFERROR(G5*D5,"")</f>
        <v/>
      </c>
      <c r="I5" s="7">
        <f>IFERROR(IF(F5&gt;=参数配置!$C$18,0,IF(F5&lt;=参数配置!$C$21,MAX(0,MIN(C5-H5,参数配置!$C$6*参数配置!$C$13)),MAX(0,MIN(C5-H5,参数配置!$C$6*参数配置!$C$12)))),"")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$6*参数配置!$D$23,IF(F5&lt;=参数配置!$C$22,I5+参数配置!$C$6*参数配置!$D$22,IF(F5&lt;=参数配置!$C$21,I5+参数配置!$C$6*参数配置!$D$21,I5))))))),"")</f>
        <v/>
      </c>
      <c r="L5" s="17" t="n"/>
      <c r="M5" s="26" t="n"/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16" t="n"/>
      <c r="B6" s="15" t="n"/>
      <c r="C6" s="7">
        <f>IFERROR(参数配置!$C$6*B6,"")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IFERROR(IF(F6&gt;=参数配置!$C$18,0,IF(F6&lt;=参数配置!$C$21,MAX(0,MIN(C6-H6,参数配置!$C$6*参数配置!$C$13)),MAX(0,MIN(C6-H6,参数配置!$C$6*参数配置!$C$12)))),"")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$6*参数配置!$D$23,IF(F6&lt;=参数配置!$C$22,I6+参数配置!$C$6*参数配置!$D$22,IF(F6&lt;=参数配置!$C$21,I6+参数配置!$C$6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16" t="n"/>
      <c r="B7" s="15" t="n"/>
      <c r="C7" s="7">
        <f>IFERROR(参数配置!$C$6*B7,"")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IFERROR(IF(F7&gt;=参数配置!$C$18,0,IF(F7&lt;=参数配置!$C$21,MAX(0,MIN(C7-H7,参数配置!$C$6*参数配置!$C$13)),MAX(0,MIN(C7-H7,参数配置!$C$6*参数配置!$C$12)))),"")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$6*参数配置!$D$23,IF(F7&lt;=参数配置!$C$22,I7+参数配置!$C$6*参数配置!$D$22,IF(F7&lt;=参数配置!$C$21,I7+参数配置!$C$6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16" t="n"/>
      <c r="B8" s="15" t="n"/>
      <c r="C8" s="7">
        <f>IFERROR(参数配置!$C$6*B8,"")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IFERROR(IF(F8&gt;=参数配置!$C$18,0,IF(F8&lt;=参数配置!$C$21,MAX(0,MIN(C8-H8,参数配置!$C$6*参数配置!$C$13)),MAX(0,MIN(C8-H8,参数配置!$C$6*参数配置!$C$12)))),"")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$6*参数配置!$D$23,IF(F8&lt;=参数配置!$C$22,I8+参数配置!$C$6*参数配置!$D$22,IF(F8&lt;=参数配置!$C$21,I8+参数配置!$C$6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16" t="n"/>
      <c r="B9" s="15" t="n"/>
      <c r="C9" s="7">
        <f>IFERROR(参数配置!$C$6*B9,"")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IFERROR(IF(F9&gt;=参数配置!$C$18,0,IF(F9&lt;=参数配置!$C$21,MAX(0,MIN(C9-H9,参数配置!$C$6*参数配置!$C$13)),MAX(0,MIN(C9-H9,参数配置!$C$6*参数配置!$C$12)))),"")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$6*参数配置!$D$23,IF(F9&lt;=参数配置!$C$22,I9+参数配置!$C$6*参数配置!$D$22,IF(F9&lt;=参数配置!$C$21,I9+参数配置!$C$6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16" t="n"/>
      <c r="B10" s="15" t="n"/>
      <c r="C10" s="7">
        <f>IFERROR(参数配置!$C$6*B10,"")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IFERROR(IF(F10&gt;=参数配置!$C$18,0,IF(F10&lt;=参数配置!$C$21,MAX(0,MIN(C10-H10,参数配置!$C$6*参数配置!$C$13)),MAX(0,MIN(C10-H10,参数配置!$C$6*参数配置!$C$12)))),"")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$6*参数配置!$D$23,IF(F10&lt;=参数配置!$C$22,I10+参数配置!$C$6*参数配置!$D$22,IF(F10&lt;=参数配置!$C$21,I10+参数配置!$C$6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16" t="n"/>
      <c r="B11" s="15" t="n"/>
      <c r="C11" s="7">
        <f>IFERROR(参数配置!$C$6*B11,"")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IFERROR(IF(F11&gt;=参数配置!$C$18,0,IF(F11&lt;=参数配置!$C$21,MAX(0,MIN(C11-H11,参数配置!$C$6*参数配置!$C$13)),MAX(0,MIN(C11-H11,参数配置!$C$6*参数配置!$C$12)))),"")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$6*参数配置!$D$23,IF(F11&lt;=参数配置!$C$22,I11+参数配置!$C$6*参数配置!$D$22,IF(F11&lt;=参数配置!$C$21,I11+参数配置!$C$6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16" t="n"/>
      <c r="B12" s="15" t="n"/>
      <c r="C12" s="7">
        <f>IFERROR(参数配置!$C$6*B12,"")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IFERROR(IF(F12&gt;=参数配置!$C$18,0,IF(F12&lt;=参数配置!$C$21,MAX(0,MIN(C12-H12,参数配置!$C$6*参数配置!$C$13)),MAX(0,MIN(C12-H12,参数配置!$C$6*参数配置!$C$12)))),"")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$6*参数配置!$D$23,IF(F12&lt;=参数配置!$C$22,I12+参数配置!$C$6*参数配置!$D$22,IF(F12&lt;=参数配置!$C$21,I12+参数配置!$C$6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16" t="n"/>
      <c r="B13" s="15" t="n"/>
      <c r="C13" s="7">
        <f>IFERROR(参数配置!$C$6*B13,"")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IFERROR(IF(F13&gt;=参数配置!$C$18,0,IF(F13&lt;=参数配置!$C$21,MAX(0,MIN(C13-H13,参数配置!$C$6*参数配置!$C$13)),MAX(0,MIN(C13-H13,参数配置!$C$6*参数配置!$C$12)))),"")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$6*参数配置!$D$23,IF(F13&lt;=参数配置!$C$22,I13+参数配置!$C$6*参数配置!$D$22,IF(F13&lt;=参数配置!$C$21,I13+参数配置!$C$6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16" t="n"/>
      <c r="B14" s="15" t="n"/>
      <c r="C14" s="7">
        <f>IFERROR(参数配置!$C$6*B14,"")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IFERROR(IF(F14&gt;=参数配置!$C$18,0,IF(F14&lt;=参数配置!$C$21,MAX(0,MIN(C14-H14,参数配置!$C$6*参数配置!$C$13)),MAX(0,MIN(C14-H14,参数配置!$C$6*参数配置!$C$12)))),"")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$6*参数配置!$D$23,IF(F14&lt;=参数配置!$C$22,I14+参数配置!$C$6*参数配置!$D$22,IF(F14&lt;=参数配置!$C$21,I14+参数配置!$C$6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16" t="n"/>
      <c r="B15" s="15" t="n"/>
      <c r="C15" s="7">
        <f>IFERROR(参数配置!$C$6*B15,"")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IFERROR(IF(F15&gt;=参数配置!$C$18,0,IF(F15&lt;=参数配置!$C$21,MAX(0,MIN(C15-H15,参数配置!$C$6*参数配置!$C$13)),MAX(0,MIN(C15-H15,参数配置!$C$6*参数配置!$C$12)))),"")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$6*参数配置!$D$23,IF(F15&lt;=参数配置!$C$22,I15+参数配置!$C$6*参数配置!$D$22,IF(F15&lt;=参数配置!$C$21,I15+参数配置!$C$6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16" t="n"/>
      <c r="B16" s="15" t="n"/>
      <c r="C16" s="7">
        <f>IFERROR(参数配置!$C$6*B16,"")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IFERROR(IF(F16&gt;=参数配置!$C$18,0,IF(F16&lt;=参数配置!$C$21,MAX(0,MIN(C16-H16,参数配置!$C$6*参数配置!$C$13)),MAX(0,MIN(C16-H16,参数配置!$C$6*参数配置!$C$12)))),"")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$6*参数配置!$D$23,IF(F16&lt;=参数配置!$C$22,I16+参数配置!$C$6*参数配置!$D$22,IF(F16&lt;=参数配置!$C$21,I16+参数配置!$C$6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16" t="n"/>
      <c r="B17" s="15" t="n"/>
      <c r="C17" s="7">
        <f>IFERROR(参数配置!$C$6*B17,"")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IFERROR(IF(F17&gt;=参数配置!$C$18,0,IF(F17&lt;=参数配置!$C$21,MAX(0,MIN(C17-H17,参数配置!$C$6*参数配置!$C$13)),MAX(0,MIN(C17-H17,参数配置!$C$6*参数配置!$C$12)))),"")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$6*参数配置!$D$23,IF(F17&lt;=参数配置!$C$22,I17+参数配置!$C$6*参数配置!$D$22,IF(F17&lt;=参数配置!$C$21,I17+参数配置!$C$6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16" t="n"/>
      <c r="B18" s="15" t="n"/>
      <c r="C18" s="7">
        <f>IFERROR(参数配置!$C$6*B18,"")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IFERROR(IF(F18&gt;=参数配置!$C$18,0,IF(F18&lt;=参数配置!$C$21,MAX(0,MIN(C18-H18,参数配置!$C$6*参数配置!$C$13)),MAX(0,MIN(C18-H18,参数配置!$C$6*参数配置!$C$12)))),"")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$6*参数配置!$D$23,IF(F18&lt;=参数配置!$C$22,I18+参数配置!$C$6*参数配置!$D$22,IF(F18&lt;=参数配置!$C$21,I18+参数配置!$C$6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16" t="n"/>
      <c r="B19" s="15" t="n"/>
      <c r="C19" s="7">
        <f>IFERROR(参数配置!$C$6*B19,"")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IFERROR(IF(F19&gt;=参数配置!$C$18,0,IF(F19&lt;=参数配置!$C$21,MAX(0,MIN(C19-H19,参数配置!$C$6*参数配置!$C$13)),MAX(0,MIN(C19-H19,参数配置!$C$6*参数配置!$C$12)))),"")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$6*参数配置!$D$23,IF(F19&lt;=参数配置!$C$22,I19+参数配置!$C$6*参数配置!$D$22,IF(F19&lt;=参数配置!$C$21,I19+参数配置!$C$6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16" t="n"/>
      <c r="B20" s="15" t="n"/>
      <c r="C20" s="7">
        <f>IFERROR(参数配置!$C$6*B20,"")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IFERROR(IF(F20&gt;=参数配置!$C$18,0,IF(F20&lt;=参数配置!$C$21,MAX(0,MIN(C20-H20,参数配置!$C$6*参数配置!$C$13)),MAX(0,MIN(C20-H20,参数配置!$C$6*参数配置!$C$12)))),"")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$6*参数配置!$D$23,IF(F20&lt;=参数配置!$C$22,I20+参数配置!$C$6*参数配置!$D$22,IF(F20&lt;=参数配置!$C$21,I20+参数配置!$C$6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16" t="n"/>
      <c r="B21" s="15" t="n"/>
      <c r="C21" s="7">
        <f>IFERROR(参数配置!$C$6*B21,"")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IFERROR(IF(F21&gt;=参数配置!$C$18,0,IF(F21&lt;=参数配置!$C$21,MAX(0,MIN(C21-H21,参数配置!$C$6*参数配置!$C$13)),MAX(0,MIN(C21-H21,参数配置!$C$6*参数配置!$C$12)))),"")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$6*参数配置!$D$23,IF(F21&lt;=参数配置!$C$22,I21+参数配置!$C$6*参数配置!$D$22,IF(F21&lt;=参数配置!$C$21,I21+参数配置!$C$6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16" t="n"/>
      <c r="B22" s="15" t="n"/>
      <c r="C22" s="7">
        <f>IFERROR(参数配置!$C$6*B22,"")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IFERROR(IF(F22&gt;=参数配置!$C$18,0,IF(F22&lt;=参数配置!$C$21,MAX(0,MIN(C22-H22,参数配置!$C$6*参数配置!$C$13)),MAX(0,MIN(C22-H22,参数配置!$C$6*参数配置!$C$12)))),"")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$6*参数配置!$D$23,IF(F22&lt;=参数配置!$C$22,I22+参数配置!$C$6*参数配置!$D$22,IF(F22&lt;=参数配置!$C$21,I22+参数配置!$C$6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16" t="n"/>
      <c r="B23" s="15" t="n"/>
      <c r="C23" s="7">
        <f>IFERROR(参数配置!$C$6*B23,"")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IFERROR(IF(F23&gt;=参数配置!$C$18,0,IF(F23&lt;=参数配置!$C$21,MAX(0,MIN(C23-H23,参数配置!$C$6*参数配置!$C$13)),MAX(0,MIN(C23-H23,参数配置!$C$6*参数配置!$C$12)))),"")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$6*参数配置!$D$23,IF(F23&lt;=参数配置!$C$22,I23+参数配置!$C$6*参数配置!$D$22,IF(F23&lt;=参数配置!$C$21,I23+参数配置!$C$6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16" t="n"/>
      <c r="B24" s="15" t="n"/>
      <c r="C24" s="7">
        <f>IFERROR(参数配置!$C$6*B24,"")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IFERROR(IF(F24&gt;=参数配置!$C$18,0,IF(F24&lt;=参数配置!$C$21,MAX(0,MIN(C24-H24,参数配置!$C$6*参数配置!$C$13)),MAX(0,MIN(C24-H24,参数配置!$C$6*参数配置!$C$12)))),"")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$6*参数配置!$D$23,IF(F24&lt;=参数配置!$C$22,I24+参数配置!$C$6*参数配置!$D$22,IF(F24&lt;=参数配置!$C$21,I24+参数配置!$C$6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16" t="n"/>
      <c r="B25" s="15" t="n"/>
      <c r="C25" s="7">
        <f>IFERROR(参数配置!$C$6*B25,"")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IFERROR(IF(F25&gt;=参数配置!$C$18,0,IF(F25&lt;=参数配置!$C$21,MAX(0,MIN(C25-H25,参数配置!$C$6*参数配置!$C$13)),MAX(0,MIN(C25-H25,参数配置!$C$6*参数配置!$C$12)))),"")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$6*参数配置!$D$23,IF(F25&lt;=参数配置!$C$22,I25+参数配置!$C$6*参数配置!$D$22,IF(F25&lt;=参数配置!$C$21,I25+参数配置!$C$6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16" t="n"/>
      <c r="B26" s="15" t="n"/>
      <c r="C26" s="7">
        <f>IFERROR(参数配置!$C$6*B26,"")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IFERROR(IF(F26&gt;=参数配置!$C$18,0,IF(F26&lt;=参数配置!$C$21,MAX(0,MIN(C26-H26,参数配置!$C$6*参数配置!$C$13)),MAX(0,MIN(C26-H26,参数配置!$C$6*参数配置!$C$12)))),"")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$6*参数配置!$D$23,IF(F26&lt;=参数配置!$C$22,I26+参数配置!$C$6*参数配置!$D$22,IF(F26&lt;=参数配置!$C$21,I26+参数配置!$C$6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16" t="n"/>
      <c r="B27" s="15" t="n"/>
      <c r="C27" s="7">
        <f>IFERROR(参数配置!$C$6*B27,"")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IFERROR(IF(F27&gt;=参数配置!$C$18,0,IF(F27&lt;=参数配置!$C$21,MAX(0,MIN(C27-H27,参数配置!$C$6*参数配置!$C$13)),MAX(0,MIN(C27-H27,参数配置!$C$6*参数配置!$C$12)))),"")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$6*参数配置!$D$23,IF(F27&lt;=参数配置!$C$22,I27+参数配置!$C$6*参数配置!$D$22,IF(F27&lt;=参数配置!$C$21,I27+参数配置!$C$6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16" t="n"/>
      <c r="B28" s="15" t="n"/>
      <c r="C28" s="7">
        <f>IFERROR(参数配置!$C$6*B28,"")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IFERROR(IF(F28&gt;=参数配置!$C$18,0,IF(F28&lt;=参数配置!$C$21,MAX(0,MIN(C28-H28,参数配置!$C$6*参数配置!$C$13)),MAX(0,MIN(C28-H28,参数配置!$C$6*参数配置!$C$12)))),"")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$6*参数配置!$D$23,IF(F28&lt;=参数配置!$C$22,I28+参数配置!$C$6*参数配置!$D$22,IF(F28&lt;=参数配置!$C$21,I28+参数配置!$C$6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16" t="n"/>
      <c r="B29" s="15" t="n"/>
      <c r="C29" s="7">
        <f>IFERROR(参数配置!$C$6*B29,"")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IFERROR(IF(F29&gt;=参数配置!$C$18,0,IF(F29&lt;=参数配置!$C$21,MAX(0,MIN(C29-H29,参数配置!$C$6*参数配置!$C$13)),MAX(0,MIN(C29-H29,参数配置!$C$6*参数配置!$C$12)))),"")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$6*参数配置!$D$23,IF(F29&lt;=参数配置!$C$22,I29+参数配置!$C$6*参数配置!$D$22,IF(F29&lt;=参数配置!$C$21,I29+参数配置!$C$6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16" t="n"/>
      <c r="B30" s="15" t="n"/>
      <c r="C30" s="7">
        <f>IFERROR(参数配置!$C$6*B30,"")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IFERROR(IF(F30&gt;=参数配置!$C$18,0,IF(F30&lt;=参数配置!$C$21,MAX(0,MIN(C30-H30,参数配置!$C$6*参数配置!$C$13)),MAX(0,MIN(C30-H30,参数配置!$C$6*参数配置!$C$12)))),"")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$6*参数配置!$D$23,IF(F30&lt;=参数配置!$C$22,I30+参数配置!$C$6*参数配置!$D$22,IF(F30&lt;=参数配置!$C$21,I30+参数配置!$C$6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16" t="n"/>
      <c r="B31" s="15" t="n"/>
      <c r="C31" s="7">
        <f>IFERROR(参数配置!$C$6*B31,"")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IFERROR(IF(F31&gt;=参数配置!$C$18,0,IF(F31&lt;=参数配置!$C$21,MAX(0,MIN(C31-H31,参数配置!$C$6*参数配置!$C$13)),MAX(0,MIN(C31-H31,参数配置!$C$6*参数配置!$C$12)))),"")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$6*参数配置!$D$23,IF(F31&lt;=参数配置!$C$22,I31+参数配置!$C$6*参数配置!$D$22,IF(F31&lt;=参数配置!$C$21,I31+参数配置!$C$6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16" t="n"/>
      <c r="B32" s="15" t="n"/>
      <c r="C32" s="7">
        <f>IFERROR(参数配置!$C$6*B32,"")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IFERROR(IF(F32&gt;=参数配置!$C$18,0,IF(F32&lt;=参数配置!$C$21,MAX(0,MIN(C32-H32,参数配置!$C$6*参数配置!$C$13)),MAX(0,MIN(C32-H32,参数配置!$C$6*参数配置!$C$12)))),"")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$6*参数配置!$D$23,IF(F32&lt;=参数配置!$C$22,I32+参数配置!$C$6*参数配置!$D$22,IF(F32&lt;=参数配置!$C$21,I32+参数配置!$C$6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16" t="n"/>
      <c r="B33" s="15" t="n"/>
      <c r="C33" s="7">
        <f>IFERROR(参数配置!$C$6*B33,"")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IFERROR(IF(F33&gt;=参数配置!$C$18,0,IF(F33&lt;=参数配置!$C$21,MAX(0,MIN(C33-H33,参数配置!$C$6*参数配置!$C$13)),MAX(0,MIN(C33-H33,参数配置!$C$6*参数配置!$C$12)))),"")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$6*参数配置!$D$23,IF(F33&lt;=参数配置!$C$22,I33+参数配置!$C$6*参数配置!$D$22,IF(F33&lt;=参数配置!$C$21,I33+参数配置!$C$6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16" t="n"/>
      <c r="B34" s="15" t="n"/>
      <c r="C34" s="7">
        <f>IFERROR(参数配置!$C$6*B34,"")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IFERROR(IF(F34&gt;=参数配置!$C$18,0,IF(F34&lt;=参数配置!$C$21,MAX(0,MIN(C34-H34,参数配置!$C$6*参数配置!$C$13)),MAX(0,MIN(C34-H34,参数配置!$C$6*参数配置!$C$12)))),"")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$6*参数配置!$D$23,IF(F34&lt;=参数配置!$C$22,I34+参数配置!$C$6*参数配置!$D$22,IF(F34&lt;=参数配置!$C$21,I34+参数配置!$C$6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16" t="n"/>
      <c r="B35" s="15" t="n"/>
      <c r="C35" s="7">
        <f>IFERROR(参数配置!$C$6*B35,"")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IFERROR(IF(F35&gt;=参数配置!$C$18,0,IF(F35&lt;=参数配置!$C$21,MAX(0,MIN(C35-H35,参数配置!$C$6*参数配置!$C$13)),MAX(0,MIN(C35-H35,参数配置!$C$6*参数配置!$C$12)))),"")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$6*参数配置!$D$23,IF(F35&lt;=参数配置!$C$22,I35+参数配置!$C$6*参数配置!$D$22,IF(F35&lt;=参数配置!$C$21,I35+参数配置!$C$6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16" t="n"/>
      <c r="B36" s="15" t="n"/>
      <c r="C36" s="7">
        <f>IFERROR(参数配置!$C$6*B36,"")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IFERROR(IF(F36&gt;=参数配置!$C$18,0,IF(F36&lt;=参数配置!$C$21,MAX(0,MIN(C36-H36,参数配置!$C$6*参数配置!$C$13)),MAX(0,MIN(C36-H36,参数配置!$C$6*参数配置!$C$12)))),"")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$6*参数配置!$D$23,IF(F36&lt;=参数配置!$C$22,I36+参数配置!$C$6*参数配置!$D$22,IF(F36&lt;=参数配置!$C$21,I36+参数配置!$C$6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16" t="n"/>
      <c r="B37" s="15" t="n"/>
      <c r="C37" s="7">
        <f>IFERROR(参数配置!$C$6*B37,"")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IFERROR(IF(F37&gt;=参数配置!$C$18,0,IF(F37&lt;=参数配置!$C$21,MAX(0,MIN(C37-H37,参数配置!$C$6*参数配置!$C$13)),MAX(0,MIN(C37-H37,参数配置!$C$6*参数配置!$C$12)))),"")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$6*参数配置!$D$23,IF(F37&lt;=参数配置!$C$22,I37+参数配置!$C$6*参数配置!$D$22,IF(F37&lt;=参数配置!$C$21,I37+参数配置!$C$6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16" t="n"/>
      <c r="B38" s="15" t="n"/>
      <c r="C38" s="7">
        <f>IFERROR(参数配置!$C$6*B38,"")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IFERROR(IF(F38&gt;=参数配置!$C$18,0,IF(F38&lt;=参数配置!$C$21,MAX(0,MIN(C38-H38,参数配置!$C$6*参数配置!$C$13)),MAX(0,MIN(C38-H38,参数配置!$C$6*参数配置!$C$12)))),"")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$6*参数配置!$D$23,IF(F38&lt;=参数配置!$C$22,I38+参数配置!$C$6*参数配置!$D$22,IF(F38&lt;=参数配置!$C$21,I38+参数配置!$C$6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16" t="n"/>
      <c r="B39" s="15" t="n"/>
      <c r="C39" s="7">
        <f>IFERROR(参数配置!$C$6*B39,"")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IFERROR(IF(F39&gt;=参数配置!$C$18,0,IF(F39&lt;=参数配置!$C$21,MAX(0,MIN(C39-H39,参数配置!$C$6*参数配置!$C$13)),MAX(0,MIN(C39-H39,参数配置!$C$6*参数配置!$C$12)))),"")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$6*参数配置!$D$23,IF(F39&lt;=参数配置!$C$22,I39+参数配置!$C$6*参数配置!$D$22,IF(F39&lt;=参数配置!$C$21,I39+参数配置!$C$6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16" t="n"/>
      <c r="B40" s="15" t="n"/>
      <c r="C40" s="7">
        <f>IFERROR(参数配置!$C$6*B40,"")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IFERROR(IF(F40&gt;=参数配置!$C$18,0,IF(F40&lt;=参数配置!$C$21,MAX(0,MIN(C40-H40,参数配置!$C$6*参数配置!$C$13)),MAX(0,MIN(C40-H40,参数配置!$C$6*参数配置!$C$12)))),"")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$6*参数配置!$D$23,IF(F40&lt;=参数配置!$C$22,I40+参数配置!$C$6*参数配置!$D$22,IF(F40&lt;=参数配置!$C$21,I40+参数配置!$C$6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16" t="n"/>
      <c r="B41" s="15" t="n"/>
      <c r="C41" s="7">
        <f>IFERROR(参数配置!$C$6*B41,"")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IFERROR(IF(F41&gt;=参数配置!$C$18,0,IF(F41&lt;=参数配置!$C$21,MAX(0,MIN(C41-H41,参数配置!$C$6*参数配置!$C$13)),MAX(0,MIN(C41-H41,参数配置!$C$6*参数配置!$C$12)))),"")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$6*参数配置!$D$23,IF(F41&lt;=参数配置!$C$22,I41+参数配置!$C$6*参数配置!$D$22,IF(F41&lt;=参数配置!$C$21,I41+参数配置!$C$6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16" t="n"/>
      <c r="B42" s="15" t="n"/>
      <c r="C42" s="7">
        <f>IFERROR(参数配置!$C$6*B42,"")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IFERROR(IF(F42&gt;=参数配置!$C$18,0,IF(F42&lt;=参数配置!$C$21,MAX(0,MIN(C42-H42,参数配置!$C$6*参数配置!$C$13)),MAX(0,MIN(C42-H42,参数配置!$C$6*参数配置!$C$12)))),"")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$6*参数配置!$D$23,IF(F42&lt;=参数配置!$C$22,I42+参数配置!$C$6*参数配置!$D$22,IF(F42&lt;=参数配置!$C$21,I42+参数配置!$C$6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16" t="n"/>
      <c r="B43" s="15" t="n"/>
      <c r="C43" s="7">
        <f>IFERROR(参数配置!$C$6*B43,"")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IFERROR(IF(F43&gt;=参数配置!$C$18,0,IF(F43&lt;=参数配置!$C$21,MAX(0,MIN(C43-H43,参数配置!$C$6*参数配置!$C$13)),MAX(0,MIN(C43-H43,参数配置!$C$6*参数配置!$C$12)))),"")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$6*参数配置!$D$23,IF(F43&lt;=参数配置!$C$22,I43+参数配置!$C$6*参数配置!$D$22,IF(F43&lt;=参数配置!$C$21,I43+参数配置!$C$6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16" t="n"/>
      <c r="B44" s="15" t="n"/>
      <c r="C44" s="7">
        <f>IFERROR(参数配置!$C$6*B44,"")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IFERROR(IF(F44&gt;=参数配置!$C$18,0,IF(F44&lt;=参数配置!$C$21,MAX(0,MIN(C44-H44,参数配置!$C$6*参数配置!$C$13)),MAX(0,MIN(C44-H44,参数配置!$C$6*参数配置!$C$12)))),"")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$6*参数配置!$D$23,IF(F44&lt;=参数配置!$C$22,I44+参数配置!$C$6*参数配置!$D$22,IF(F44&lt;=参数配置!$C$21,I44+参数配置!$C$6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16" t="n"/>
      <c r="B45" s="15" t="n"/>
      <c r="C45" s="7">
        <f>IFERROR(参数配置!$C$6*B45,"")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IFERROR(IF(F45&gt;=参数配置!$C$18,0,IF(F45&lt;=参数配置!$C$21,MAX(0,MIN(C45-H45,参数配置!$C$6*参数配置!$C$13)),MAX(0,MIN(C45-H45,参数配置!$C$6*参数配置!$C$12)))),"")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$6*参数配置!$D$23,IF(F45&lt;=参数配置!$C$22,I45+参数配置!$C$6*参数配置!$D$22,IF(F45&lt;=参数配置!$C$21,I45+参数配置!$C$6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16" t="n"/>
      <c r="B46" s="15" t="n"/>
      <c r="C46" s="7">
        <f>IFERROR(参数配置!$C$6*B46,"")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IFERROR(IF(F46&gt;=参数配置!$C$18,0,IF(F46&lt;=参数配置!$C$21,MAX(0,MIN(C46-H46,参数配置!$C$6*参数配置!$C$13)),MAX(0,MIN(C46-H46,参数配置!$C$6*参数配置!$C$12)))),"")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$6*参数配置!$D$23,IF(F46&lt;=参数配置!$C$22,I46+参数配置!$C$6*参数配置!$D$22,IF(F46&lt;=参数配置!$C$21,I46+参数配置!$C$6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16" t="n"/>
      <c r="B47" s="15" t="n"/>
      <c r="C47" s="7">
        <f>IFERROR(参数配置!$C$6*B47,"")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IFERROR(IF(F47&gt;=参数配置!$C$18,0,IF(F47&lt;=参数配置!$C$21,MAX(0,MIN(C47-H47,参数配置!$C$6*参数配置!$C$13)),MAX(0,MIN(C47-H47,参数配置!$C$6*参数配置!$C$12)))),"")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$6*参数配置!$D$23,IF(F47&lt;=参数配置!$C$22,I47+参数配置!$C$6*参数配置!$D$22,IF(F47&lt;=参数配置!$C$21,I47+参数配置!$C$6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16" t="n"/>
      <c r="B48" s="15" t="n"/>
      <c r="C48" s="7">
        <f>IFERROR(参数配置!$C$6*B48,"")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IFERROR(IF(F48&gt;=参数配置!$C$18,0,IF(F48&lt;=参数配置!$C$21,MAX(0,MIN(C48-H48,参数配置!$C$6*参数配置!$C$13)),MAX(0,MIN(C48-H48,参数配置!$C$6*参数配置!$C$12)))),"")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$6*参数配置!$D$23,IF(F48&lt;=参数配置!$C$22,I48+参数配置!$C$6*参数配置!$D$22,IF(F48&lt;=参数配置!$C$21,I48+参数配置!$C$6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16" t="n"/>
      <c r="B49" s="15" t="n"/>
      <c r="C49" s="7">
        <f>IFERROR(参数配置!$C$6*B49,"")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IFERROR(IF(F49&gt;=参数配置!$C$18,0,IF(F49&lt;=参数配置!$C$21,MAX(0,MIN(C49-H49,参数配置!$C$6*参数配置!$C$13)),MAX(0,MIN(C49-H49,参数配置!$C$6*参数配置!$C$12)))),"")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$6*参数配置!$D$23,IF(F49&lt;=参数配置!$C$22,I49+参数配置!$C$6*参数配置!$D$22,IF(F49&lt;=参数配置!$C$21,I49+参数配置!$C$6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16" t="n"/>
      <c r="B50" s="15" t="n"/>
      <c r="C50" s="7">
        <f>IFERROR(参数配置!$C$6*B50,"")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IFERROR(IF(F50&gt;=参数配置!$C$18,0,IF(F50&lt;=参数配置!$C$21,MAX(0,MIN(C50-H50,参数配置!$C$6*参数配置!$C$13)),MAX(0,MIN(C50-H50,参数配置!$C$6*参数配置!$C$12)))),"")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$6*参数配置!$D$23,IF(F50&lt;=参数配置!$C$22,I50+参数配置!$C$6*参数配置!$D$22,IF(F50&lt;=参数配置!$C$21,I50+参数配置!$C$6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16" t="n"/>
      <c r="B51" s="15" t="n"/>
      <c r="C51" s="7">
        <f>IFERROR(参数配置!$C$6*B51,"")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IFERROR(IF(F51&gt;=参数配置!$C$18,0,IF(F51&lt;=参数配置!$C$21,MAX(0,MIN(C51-H51,参数配置!$C$6*参数配置!$C$13)),MAX(0,MIN(C51-H51,参数配置!$C$6*参数配置!$C$12)))),"")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$6*参数配置!$D$23,IF(F51&lt;=参数配置!$C$22,I51+参数配置!$C$6*参数配置!$D$22,IF(F51&lt;=参数配置!$C$21,I51+参数配置!$C$6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16" t="n"/>
      <c r="B52" s="15" t="n"/>
      <c r="C52" s="7">
        <f>IFERROR(参数配置!$C$6*B52,"")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IFERROR(IF(F52&gt;=参数配置!$C$18,0,IF(F52&lt;=参数配置!$C$21,MAX(0,MIN(C52-H52,参数配置!$C$6*参数配置!$C$13)),MAX(0,MIN(C52-H52,参数配置!$C$6*参数配置!$C$12)))),"")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$6*参数配置!$D$23,IF(F52&lt;=参数配置!$C$22,I52+参数配置!$C$6*参数配置!$D$22,IF(F52&lt;=参数配置!$C$21,I52+参数配置!$C$6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16" t="n"/>
      <c r="B53" s="15" t="n"/>
      <c r="C53" s="7">
        <f>IFERROR(参数配置!$C$6*B53,"")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IFERROR(IF(F53&gt;=参数配置!$C$18,0,IF(F53&lt;=参数配置!$C$21,MAX(0,MIN(C53-H53,参数配置!$C$6*参数配置!$C$13)),MAX(0,MIN(C53-H53,参数配置!$C$6*参数配置!$C$12)))),"")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$6*参数配置!$D$23,IF(F53&lt;=参数配置!$C$22,I53+参数配置!$C$6*参数配置!$D$22,IF(F53&lt;=参数配置!$C$21,I53+参数配置!$C$6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16" t="n"/>
      <c r="B54" s="15" t="n"/>
      <c r="C54" s="7">
        <f>IFERROR(参数配置!$C$6*B54,"")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IFERROR(IF(F54&gt;=参数配置!$C$18,0,IF(F54&lt;=参数配置!$C$21,MAX(0,MIN(C54-H54,参数配置!$C$6*参数配置!$C$13)),MAX(0,MIN(C54-H54,参数配置!$C$6*参数配置!$C$12)))),"")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$6*参数配置!$D$23,IF(F54&lt;=参数配置!$C$22,I54+参数配置!$C$6*参数配置!$D$22,IF(F54&lt;=参数配置!$C$21,I54+参数配置!$C$6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16" t="n"/>
      <c r="B55" s="15" t="n"/>
      <c r="C55" s="7">
        <f>IFERROR(参数配置!$C$6*B55,"")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IFERROR(IF(F55&gt;=参数配置!$C$18,0,IF(F55&lt;=参数配置!$C$21,MAX(0,MIN(C55-H55,参数配置!$C$6*参数配置!$C$13)),MAX(0,MIN(C55-H55,参数配置!$C$6*参数配置!$C$12)))),"")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$6*参数配置!$D$23,IF(F55&lt;=参数配置!$C$22,I55+参数配置!$C$6*参数配置!$D$22,IF(F55&lt;=参数配置!$C$21,I55+参数配置!$C$6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16" t="n"/>
      <c r="B56" s="15" t="n"/>
      <c r="C56" s="7">
        <f>IFERROR(参数配置!$C$6*B56,"")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IFERROR(IF(F56&gt;=参数配置!$C$18,0,IF(F56&lt;=参数配置!$C$21,MAX(0,MIN(C56-H56,参数配置!$C$6*参数配置!$C$13)),MAX(0,MIN(C56-H56,参数配置!$C$6*参数配置!$C$12)))),"")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$6*参数配置!$D$23,IF(F56&lt;=参数配置!$C$22,I56+参数配置!$C$6*参数配置!$D$22,IF(F56&lt;=参数配置!$C$21,I56+参数配置!$C$6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16" t="n"/>
      <c r="B57" s="15" t="n"/>
      <c r="C57" s="7">
        <f>IFERROR(参数配置!$C$6*B57,"")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IFERROR(IF(F57&gt;=参数配置!$C$18,0,IF(F57&lt;=参数配置!$C$21,MAX(0,MIN(C57-H57,参数配置!$C$6*参数配置!$C$13)),MAX(0,MIN(C57-H57,参数配置!$C$6*参数配置!$C$12)))),"")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$6*参数配置!$D$23,IF(F57&lt;=参数配置!$C$22,I57+参数配置!$C$6*参数配置!$D$22,IF(F57&lt;=参数配置!$C$21,I57+参数配置!$C$6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16" t="n"/>
      <c r="B58" s="15" t="n"/>
      <c r="C58" s="7">
        <f>IFERROR(参数配置!$C$6*B58,"")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IFERROR(IF(F58&gt;=参数配置!$C$18,0,IF(F58&lt;=参数配置!$C$21,MAX(0,MIN(C58-H58,参数配置!$C$6*参数配置!$C$13)),MAX(0,MIN(C58-H58,参数配置!$C$6*参数配置!$C$12)))),"")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$6*参数配置!$D$23,IF(F58&lt;=参数配置!$C$22,I58+参数配置!$C$6*参数配置!$D$22,IF(F58&lt;=参数配置!$C$21,I58+参数配置!$C$6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16" t="n"/>
      <c r="B59" s="15" t="n"/>
      <c r="C59" s="7">
        <f>IFERROR(参数配置!$C$6*B59,"")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IFERROR(IF(F59&gt;=参数配置!$C$18,0,IF(F59&lt;=参数配置!$C$21,MAX(0,MIN(C59-H59,参数配置!$C$6*参数配置!$C$13)),MAX(0,MIN(C59-H59,参数配置!$C$6*参数配置!$C$12)))),"")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$6*参数配置!$D$23,IF(F59&lt;=参数配置!$C$22,I59+参数配置!$C$6*参数配置!$D$22,IF(F59&lt;=参数配置!$C$21,I59+参数配置!$C$6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16" t="n"/>
      <c r="B60" s="15" t="n"/>
      <c r="C60" s="7">
        <f>IFERROR(参数配置!$C$6*B60,"")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IFERROR(IF(F60&gt;=参数配置!$C$18,0,IF(F60&lt;=参数配置!$C$21,MAX(0,MIN(C60-H60,参数配置!$C$6*参数配置!$C$13)),MAX(0,MIN(C60-H60,参数配置!$C$6*参数配置!$C$12)))),"")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$6*参数配置!$D$23,IF(F60&lt;=参数配置!$C$22,I60+参数配置!$C$6*参数配置!$D$22,IF(F60&lt;=参数配置!$C$21,I60+参数配置!$C$6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16" t="n"/>
      <c r="B61" s="15" t="n"/>
      <c r="C61" s="7">
        <f>IFERROR(参数配置!$C$6*B61,"")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IFERROR(IF(F61&gt;=参数配置!$C$18,0,IF(F61&lt;=参数配置!$C$21,MAX(0,MIN(C61-H61,参数配置!$C$6*参数配置!$C$13)),MAX(0,MIN(C61-H61,参数配置!$C$6*参数配置!$C$12)))),"")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$6*参数配置!$D$23,IF(F61&lt;=参数配置!$C$22,I61+参数配置!$C$6*参数配置!$D$22,IF(F61&lt;=参数配置!$C$21,I61+参数配置!$C$6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16" t="n"/>
      <c r="B62" s="15" t="n"/>
      <c r="C62" s="7">
        <f>IFERROR(参数配置!$C$6*B62,"")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IFERROR(IF(F62&gt;=参数配置!$C$18,0,IF(F62&lt;=参数配置!$C$21,MAX(0,MIN(C62-H62,参数配置!$C$6*参数配置!$C$13)),MAX(0,MIN(C62-H62,参数配置!$C$6*参数配置!$C$12)))),"")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$6*参数配置!$D$23,IF(F62&lt;=参数配置!$C$22,I62+参数配置!$C$6*参数配置!$D$22,IF(F62&lt;=参数配置!$C$21,I62+参数配置!$C$6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16" t="n"/>
      <c r="B63" s="15" t="n"/>
      <c r="C63" s="7">
        <f>IFERROR(参数配置!$C$6*B63,"")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IFERROR(IF(F63&gt;=参数配置!$C$18,0,IF(F63&lt;=参数配置!$C$21,MAX(0,MIN(C63-H63,参数配置!$C$6*参数配置!$C$13)),MAX(0,MIN(C63-H63,参数配置!$C$6*参数配置!$C$12)))),"")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$6*参数配置!$D$23,IF(F63&lt;=参数配置!$C$22,I63+参数配置!$C$6*参数配置!$D$22,IF(F63&lt;=参数配置!$C$21,I63+参数配置!$C$6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16" t="n"/>
      <c r="B64" s="15" t="n"/>
      <c r="C64" s="7">
        <f>IFERROR(参数配置!$C$6*B64,"")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IFERROR(IF(F64&gt;=参数配置!$C$18,0,IF(F64&lt;=参数配置!$C$21,MAX(0,MIN(C64-H64,参数配置!$C$6*参数配置!$C$13)),MAX(0,MIN(C64-H64,参数配置!$C$6*参数配置!$C$12)))),"")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$6*参数配置!$D$23,IF(F64&lt;=参数配置!$C$22,I64+参数配置!$C$6*参数配置!$D$22,IF(F64&lt;=参数配置!$C$21,I64+参数配置!$C$6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16" t="n"/>
      <c r="B65" s="15" t="n"/>
      <c r="C65" s="7">
        <f>IFERROR(参数配置!$C$6*B65,"")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IFERROR(IF(F65&gt;=参数配置!$C$18,0,IF(F65&lt;=参数配置!$C$21,MAX(0,MIN(C65-H65,参数配置!$C$6*参数配置!$C$13)),MAX(0,MIN(C65-H65,参数配置!$C$6*参数配置!$C$12)))),"")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$6*参数配置!$D$23,IF(F65&lt;=参数配置!$C$22,I65+参数配置!$C$6*参数配置!$D$22,IF(F65&lt;=参数配置!$C$21,I65+参数配置!$C$6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16" t="n"/>
      <c r="B66" s="15" t="n"/>
      <c r="C66" s="7">
        <f>IFERROR(参数配置!$C$6*B66,"")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IFERROR(IF(F66&gt;=参数配置!$C$18,0,IF(F66&lt;=参数配置!$C$21,MAX(0,MIN(C66-H66,参数配置!$C$6*参数配置!$C$13)),MAX(0,MIN(C66-H66,参数配置!$C$6*参数配置!$C$12)))),"")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$6*参数配置!$D$23,IF(F66&lt;=参数配置!$C$22,I66+参数配置!$C$6*参数配置!$D$22,IF(F66&lt;=参数配置!$C$21,I66+参数配置!$C$6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16" t="n"/>
      <c r="B67" s="15" t="n"/>
      <c r="C67" s="7">
        <f>IFERROR(参数配置!$C$6*B67,"")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IFERROR(IF(F67&gt;=参数配置!$C$18,0,IF(F67&lt;=参数配置!$C$21,MAX(0,MIN(C67-H67,参数配置!$C$6*参数配置!$C$13)),MAX(0,MIN(C67-H67,参数配置!$C$6*参数配置!$C$12)))),"")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$6*参数配置!$D$23,IF(F67&lt;=参数配置!$C$22,I67+参数配置!$C$6*参数配置!$D$22,IF(F67&lt;=参数配置!$C$21,I67+参数配置!$C$6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16" t="n"/>
      <c r="B68" s="15" t="n"/>
      <c r="C68" s="7">
        <f>IFERROR(参数配置!$C$6*B68,"")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IFERROR(IF(F68&gt;=参数配置!$C$18,0,IF(F68&lt;=参数配置!$C$21,MAX(0,MIN(C68-H68,参数配置!$C$6*参数配置!$C$13)),MAX(0,MIN(C68-H68,参数配置!$C$6*参数配置!$C$12)))),"")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$6*参数配置!$D$23,IF(F68&lt;=参数配置!$C$22,I68+参数配置!$C$6*参数配置!$D$22,IF(F68&lt;=参数配置!$C$21,I68+参数配置!$C$6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16" t="n"/>
      <c r="B69" s="15" t="n"/>
      <c r="C69" s="7">
        <f>IFERROR(参数配置!$C$6*B69,"")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IFERROR(IF(F69&gt;=参数配置!$C$18,0,IF(F69&lt;=参数配置!$C$21,MAX(0,MIN(C69-H69,参数配置!$C$6*参数配置!$C$13)),MAX(0,MIN(C69-H69,参数配置!$C$6*参数配置!$C$12)))),"")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$6*参数配置!$D$23,IF(F69&lt;=参数配置!$C$22,I69+参数配置!$C$6*参数配置!$D$22,IF(F69&lt;=参数配置!$C$21,I69+参数配置!$C$6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16" t="n"/>
      <c r="B70" s="15" t="n"/>
      <c r="C70" s="7">
        <f>IFERROR(参数配置!$C$6*B70,"")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IFERROR(IF(F70&gt;=参数配置!$C$18,0,IF(F70&lt;=参数配置!$C$21,MAX(0,MIN(C70-H70,参数配置!$C$6*参数配置!$C$13)),MAX(0,MIN(C70-H70,参数配置!$C$6*参数配置!$C$12)))),"")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$6*参数配置!$D$23,IF(F70&lt;=参数配置!$C$22,I70+参数配置!$C$6*参数配置!$D$22,IF(F70&lt;=参数配置!$C$21,I70+参数配置!$C$6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16" t="n"/>
      <c r="B71" s="15" t="n"/>
      <c r="C71" s="7">
        <f>IFERROR(参数配置!$C$6*B71,"")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IFERROR(IF(F71&gt;=参数配置!$C$18,0,IF(F71&lt;=参数配置!$C$21,MAX(0,MIN(C71-H71,参数配置!$C$6*参数配置!$C$13)),MAX(0,MIN(C71-H71,参数配置!$C$6*参数配置!$C$12)))),"")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$6*参数配置!$D$23,IF(F71&lt;=参数配置!$C$22,I71+参数配置!$C$6*参数配置!$D$22,IF(F71&lt;=参数配置!$C$21,I71+参数配置!$C$6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16" t="n"/>
      <c r="B72" s="15" t="n"/>
      <c r="C72" s="7">
        <f>IFERROR(参数配置!$C$6*B72,"")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IFERROR(IF(F72&gt;=参数配置!$C$18,0,IF(F72&lt;=参数配置!$C$21,MAX(0,MIN(C72-H72,参数配置!$C$6*参数配置!$C$13)),MAX(0,MIN(C72-H72,参数配置!$C$6*参数配置!$C$12)))),"")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$6*参数配置!$D$23,IF(F72&lt;=参数配置!$C$22,I72+参数配置!$C$6*参数配置!$D$22,IF(F72&lt;=参数配置!$C$21,I72+参数配置!$C$6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16" t="n"/>
      <c r="B73" s="15" t="n"/>
      <c r="C73" s="7">
        <f>IFERROR(参数配置!$C$6*B73,"")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IFERROR(IF(F73&gt;=参数配置!$C$18,0,IF(F73&lt;=参数配置!$C$21,MAX(0,MIN(C73-H73,参数配置!$C$6*参数配置!$C$13)),MAX(0,MIN(C73-H73,参数配置!$C$6*参数配置!$C$12)))),"")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$6*参数配置!$D$23,IF(F73&lt;=参数配置!$C$22,I73+参数配置!$C$6*参数配置!$D$22,IF(F73&lt;=参数配置!$C$21,I73+参数配置!$C$6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16" t="n"/>
      <c r="B74" s="15" t="n"/>
      <c r="C74" s="7">
        <f>IFERROR(参数配置!$C$6*B74,"")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IFERROR(IF(F74&gt;=参数配置!$C$18,0,IF(F74&lt;=参数配置!$C$21,MAX(0,MIN(C74-H74,参数配置!$C$6*参数配置!$C$13)),MAX(0,MIN(C74-H74,参数配置!$C$6*参数配置!$C$12)))),"")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$6*参数配置!$D$23,IF(F74&lt;=参数配置!$C$22,I74+参数配置!$C$6*参数配置!$D$22,IF(F74&lt;=参数配置!$C$21,I74+参数配置!$C$6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16" t="n"/>
      <c r="B75" s="15" t="n"/>
      <c r="C75" s="7">
        <f>IFERROR(参数配置!$C$6*B75,"")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IFERROR(IF(F75&gt;=参数配置!$C$18,0,IF(F75&lt;=参数配置!$C$21,MAX(0,MIN(C75-H75,参数配置!$C$6*参数配置!$C$13)),MAX(0,MIN(C75-H75,参数配置!$C$6*参数配置!$C$12)))),"")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$6*参数配置!$D$23,IF(F75&lt;=参数配置!$C$22,I75+参数配置!$C$6*参数配置!$D$22,IF(F75&lt;=参数配置!$C$21,I75+参数配置!$C$6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16" t="n"/>
      <c r="B76" s="15" t="n"/>
      <c r="C76" s="7">
        <f>IFERROR(参数配置!$C$6*B76,"")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IFERROR(IF(F76&gt;=参数配置!$C$18,0,IF(F76&lt;=参数配置!$C$21,MAX(0,MIN(C76-H76,参数配置!$C$6*参数配置!$C$13)),MAX(0,MIN(C76-H76,参数配置!$C$6*参数配置!$C$12)))),"")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$6*参数配置!$D$23,IF(F76&lt;=参数配置!$C$22,I76+参数配置!$C$6*参数配置!$D$22,IF(F76&lt;=参数配置!$C$21,I76+参数配置!$C$6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16" t="n"/>
      <c r="B77" s="15" t="n"/>
      <c r="C77" s="7">
        <f>IFERROR(参数配置!$C$6*B77,"")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IFERROR(IF(F77&gt;=参数配置!$C$18,0,IF(F77&lt;=参数配置!$C$21,MAX(0,MIN(C77-H77,参数配置!$C$6*参数配置!$C$13)),MAX(0,MIN(C77-H77,参数配置!$C$6*参数配置!$C$12)))),"")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$6*参数配置!$D$23,IF(F77&lt;=参数配置!$C$22,I77+参数配置!$C$6*参数配置!$D$22,IF(F77&lt;=参数配置!$C$21,I77+参数配置!$C$6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16" t="n"/>
      <c r="B78" s="15" t="n"/>
      <c r="C78" s="7">
        <f>IFERROR(参数配置!$C$6*B78,"")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IFERROR(IF(F78&gt;=参数配置!$C$18,0,IF(F78&lt;=参数配置!$C$21,MAX(0,MIN(C78-H78,参数配置!$C$6*参数配置!$C$13)),MAX(0,MIN(C78-H78,参数配置!$C$6*参数配置!$C$12)))),"")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$6*参数配置!$D$23,IF(F78&lt;=参数配置!$C$22,I78+参数配置!$C$6*参数配置!$D$22,IF(F78&lt;=参数配置!$C$21,I78+参数配置!$C$6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16" t="n"/>
      <c r="B79" s="15" t="n"/>
      <c r="C79" s="7">
        <f>IFERROR(参数配置!$C$6*B79,"")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IFERROR(IF(F79&gt;=参数配置!$C$18,0,IF(F79&lt;=参数配置!$C$21,MAX(0,MIN(C79-H79,参数配置!$C$6*参数配置!$C$13)),MAX(0,MIN(C79-H79,参数配置!$C$6*参数配置!$C$12)))),"")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$6*参数配置!$D$23,IF(F79&lt;=参数配置!$C$22,I79+参数配置!$C$6*参数配置!$D$22,IF(F79&lt;=参数配置!$C$21,I79+参数配置!$C$6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16" t="n"/>
      <c r="B80" s="15" t="n"/>
      <c r="C80" s="7">
        <f>IFERROR(参数配置!$C$6*B80,"")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IFERROR(IF(F80&gt;=参数配置!$C$18,0,IF(F80&lt;=参数配置!$C$21,MAX(0,MIN(C80-H80,参数配置!$C$6*参数配置!$C$13)),MAX(0,MIN(C80-H80,参数配置!$C$6*参数配置!$C$12)))),"")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$6*参数配置!$D$23,IF(F80&lt;=参数配置!$C$22,I80+参数配置!$C$6*参数配置!$D$22,IF(F80&lt;=参数配置!$C$21,I80+参数配置!$C$6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16" t="n"/>
      <c r="B81" s="15" t="n"/>
      <c r="C81" s="7">
        <f>IFERROR(参数配置!$C$6*B81,"")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IFERROR(IF(F81&gt;=参数配置!$C$18,0,IF(F81&lt;=参数配置!$C$21,MAX(0,MIN(C81-H81,参数配置!$C$6*参数配置!$C$13)),MAX(0,MIN(C81-H81,参数配置!$C$6*参数配置!$C$12)))),"")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$6*参数配置!$D$23,IF(F81&lt;=参数配置!$C$22,I81+参数配置!$C$6*参数配置!$D$22,IF(F81&lt;=参数配置!$C$21,I81+参数配置!$C$6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16" t="n"/>
      <c r="B82" s="15" t="n"/>
      <c r="C82" s="7">
        <f>IFERROR(参数配置!$C$6*B82,"")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IFERROR(IF(F82&gt;=参数配置!$C$18,0,IF(F82&lt;=参数配置!$C$21,MAX(0,MIN(C82-H82,参数配置!$C$6*参数配置!$C$13)),MAX(0,MIN(C82-H82,参数配置!$C$6*参数配置!$C$12)))),"")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$6*参数配置!$D$23,IF(F82&lt;=参数配置!$C$22,I82+参数配置!$C$6*参数配置!$D$22,IF(F82&lt;=参数配置!$C$21,I82+参数配置!$C$6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16" t="n"/>
      <c r="B83" s="15" t="n"/>
      <c r="C83" s="7">
        <f>IFERROR(参数配置!$C$6*B83,"")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IFERROR(IF(F83&gt;=参数配置!$C$18,0,IF(F83&lt;=参数配置!$C$21,MAX(0,MIN(C83-H83,参数配置!$C$6*参数配置!$C$13)),MAX(0,MIN(C83-H83,参数配置!$C$6*参数配置!$C$12)))),"")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$6*参数配置!$D$23,IF(F83&lt;=参数配置!$C$22,I83+参数配置!$C$6*参数配置!$D$22,IF(F83&lt;=参数配置!$C$21,I83+参数配置!$C$6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16" t="n"/>
      <c r="B84" s="15" t="n"/>
      <c r="C84" s="7">
        <f>IFERROR(参数配置!$C$6*B84,"")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IFERROR(IF(F84&gt;=参数配置!$C$18,0,IF(F84&lt;=参数配置!$C$21,MAX(0,MIN(C84-H84,参数配置!$C$6*参数配置!$C$13)),MAX(0,MIN(C84-H84,参数配置!$C$6*参数配置!$C$12)))),"")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$6*参数配置!$D$23,IF(F84&lt;=参数配置!$C$22,I84+参数配置!$C$6*参数配置!$D$22,IF(F84&lt;=参数配置!$C$21,I84+参数配置!$C$6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16" t="n"/>
      <c r="B85" s="15" t="n"/>
      <c r="C85" s="7">
        <f>IFERROR(参数配置!$C$6*B85,"")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IFERROR(IF(F85&gt;=参数配置!$C$18,0,IF(F85&lt;=参数配置!$C$21,MAX(0,MIN(C85-H85,参数配置!$C$6*参数配置!$C$13)),MAX(0,MIN(C85-H85,参数配置!$C$6*参数配置!$C$12)))),"")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$6*参数配置!$D$23,IF(F85&lt;=参数配置!$C$22,I85+参数配置!$C$6*参数配置!$D$22,IF(F85&lt;=参数配置!$C$21,I85+参数配置!$C$6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16" t="n"/>
      <c r="B86" s="15" t="n"/>
      <c r="C86" s="7">
        <f>IFERROR(参数配置!$C$6*B86,"")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IFERROR(IF(F86&gt;=参数配置!$C$18,0,IF(F86&lt;=参数配置!$C$21,MAX(0,MIN(C86-H86,参数配置!$C$6*参数配置!$C$13)),MAX(0,MIN(C86-H86,参数配置!$C$6*参数配置!$C$12)))),"")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$6*参数配置!$D$23,IF(F86&lt;=参数配置!$C$22,I86+参数配置!$C$6*参数配置!$D$22,IF(F86&lt;=参数配置!$C$21,I86+参数配置!$C$6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16" t="n"/>
      <c r="B87" s="15" t="n"/>
      <c r="C87" s="7">
        <f>IFERROR(参数配置!$C$6*B87,"")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IFERROR(IF(F87&gt;=参数配置!$C$18,0,IF(F87&lt;=参数配置!$C$21,MAX(0,MIN(C87-H87,参数配置!$C$6*参数配置!$C$13)),MAX(0,MIN(C87-H87,参数配置!$C$6*参数配置!$C$12)))),"")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$6*参数配置!$D$23,IF(F87&lt;=参数配置!$C$22,I87+参数配置!$C$6*参数配置!$D$22,IF(F87&lt;=参数配置!$C$21,I87+参数配置!$C$6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16" t="n"/>
      <c r="B88" s="15" t="n"/>
      <c r="C88" s="7">
        <f>IFERROR(参数配置!$C$6*B88,"")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IFERROR(IF(F88&gt;=参数配置!$C$18,0,IF(F88&lt;=参数配置!$C$21,MAX(0,MIN(C88-H88,参数配置!$C$6*参数配置!$C$13)),MAX(0,MIN(C88-H88,参数配置!$C$6*参数配置!$C$12)))),"")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$6*参数配置!$D$23,IF(F88&lt;=参数配置!$C$22,I88+参数配置!$C$6*参数配置!$D$22,IF(F88&lt;=参数配置!$C$21,I88+参数配置!$C$6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16" t="n"/>
      <c r="B89" s="15" t="n"/>
      <c r="C89" s="7">
        <f>IFERROR(参数配置!$C$6*B89,"")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IFERROR(IF(F89&gt;=参数配置!$C$18,0,IF(F89&lt;=参数配置!$C$21,MAX(0,MIN(C89-H89,参数配置!$C$6*参数配置!$C$13)),MAX(0,MIN(C89-H89,参数配置!$C$6*参数配置!$C$12)))),"")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$6*参数配置!$D$23,IF(F89&lt;=参数配置!$C$22,I89+参数配置!$C$6*参数配置!$D$22,IF(F89&lt;=参数配置!$C$21,I89+参数配置!$C$6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16" t="n"/>
      <c r="B90" s="15" t="n"/>
      <c r="C90" s="7">
        <f>IFERROR(参数配置!$C$6*B90,"")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IFERROR(IF(F90&gt;=参数配置!$C$18,0,IF(F90&lt;=参数配置!$C$21,MAX(0,MIN(C90-H90,参数配置!$C$6*参数配置!$C$13)),MAX(0,MIN(C90-H90,参数配置!$C$6*参数配置!$C$12)))),"")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$6*参数配置!$D$23,IF(F90&lt;=参数配置!$C$22,I90+参数配置!$C$6*参数配置!$D$22,IF(F90&lt;=参数配置!$C$21,I90+参数配置!$C$6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16" t="n"/>
      <c r="B91" s="15" t="n"/>
      <c r="C91" s="7">
        <f>IFERROR(参数配置!$C$6*B91,"")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IFERROR(IF(F91&gt;=参数配置!$C$18,0,IF(F91&lt;=参数配置!$C$21,MAX(0,MIN(C91-H91,参数配置!$C$6*参数配置!$C$13)),MAX(0,MIN(C91-H91,参数配置!$C$6*参数配置!$C$12)))),"")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$6*参数配置!$D$23,IF(F91&lt;=参数配置!$C$22,I91+参数配置!$C$6*参数配置!$D$22,IF(F91&lt;=参数配置!$C$21,I91+参数配置!$C$6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16" t="n"/>
      <c r="B92" s="15" t="n"/>
      <c r="C92" s="7">
        <f>IFERROR(参数配置!$C$6*B92,"")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IFERROR(IF(F92&gt;=参数配置!$C$18,0,IF(F92&lt;=参数配置!$C$21,MAX(0,MIN(C92-H92,参数配置!$C$6*参数配置!$C$13)),MAX(0,MIN(C92-H92,参数配置!$C$6*参数配置!$C$12)))),"")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$6*参数配置!$D$23,IF(F92&lt;=参数配置!$C$22,I92+参数配置!$C$6*参数配置!$D$22,IF(F92&lt;=参数配置!$C$21,I92+参数配置!$C$6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16" t="n"/>
      <c r="B93" s="15" t="n"/>
      <c r="C93" s="7">
        <f>IFERROR(参数配置!$C$6*B93,"")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IFERROR(IF(F93&gt;=参数配置!$C$18,0,IF(F93&lt;=参数配置!$C$21,MAX(0,MIN(C93-H93,参数配置!$C$6*参数配置!$C$13)),MAX(0,MIN(C93-H93,参数配置!$C$6*参数配置!$C$12)))),"")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$6*参数配置!$D$23,IF(F93&lt;=参数配置!$C$22,I93+参数配置!$C$6*参数配置!$D$22,IF(F93&lt;=参数配置!$C$21,I93+参数配置!$C$6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16" t="n"/>
      <c r="B94" s="15" t="n"/>
      <c r="C94" s="7">
        <f>IFERROR(参数配置!$C$6*B94,"")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IFERROR(IF(F94&gt;=参数配置!$C$18,0,IF(F94&lt;=参数配置!$C$21,MAX(0,MIN(C94-H94,参数配置!$C$6*参数配置!$C$13)),MAX(0,MIN(C94-H94,参数配置!$C$6*参数配置!$C$12)))),"")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$6*参数配置!$D$23,IF(F94&lt;=参数配置!$C$22,I94+参数配置!$C$6*参数配置!$D$22,IF(F94&lt;=参数配置!$C$21,I94+参数配置!$C$6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16" t="n"/>
      <c r="B95" s="15" t="n"/>
      <c r="C95" s="7">
        <f>IFERROR(参数配置!$C$6*B95,"")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IFERROR(IF(F95&gt;=参数配置!$C$18,0,IF(F95&lt;=参数配置!$C$21,MAX(0,MIN(C95-H95,参数配置!$C$6*参数配置!$C$13)),MAX(0,MIN(C95-H95,参数配置!$C$6*参数配置!$C$12)))),"")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$6*参数配置!$D$23,IF(F95&lt;=参数配置!$C$22,I95+参数配置!$C$6*参数配置!$D$22,IF(F95&lt;=参数配置!$C$21,I95+参数配置!$C$6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16" t="n"/>
      <c r="B96" s="15" t="n"/>
      <c r="C96" s="7">
        <f>IFERROR(参数配置!$C$6*B96,"")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IFERROR(IF(F96&gt;=参数配置!$C$18,0,IF(F96&lt;=参数配置!$C$21,MAX(0,MIN(C96-H96,参数配置!$C$6*参数配置!$C$13)),MAX(0,MIN(C96-H96,参数配置!$C$6*参数配置!$C$12)))),"")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$6*参数配置!$D$23,IF(F96&lt;=参数配置!$C$22,I96+参数配置!$C$6*参数配置!$D$22,IF(F96&lt;=参数配置!$C$21,I96+参数配置!$C$6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16" t="n"/>
      <c r="B97" s="15" t="n"/>
      <c r="C97" s="7">
        <f>IFERROR(参数配置!$C$6*B97,"")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IFERROR(IF(F97&gt;=参数配置!$C$18,0,IF(F97&lt;=参数配置!$C$21,MAX(0,MIN(C97-H97,参数配置!$C$6*参数配置!$C$13)),MAX(0,MIN(C97-H97,参数配置!$C$6*参数配置!$C$12)))),"")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$6*参数配置!$D$23,IF(F97&lt;=参数配置!$C$22,I97+参数配置!$C$6*参数配置!$D$22,IF(F97&lt;=参数配置!$C$21,I97+参数配置!$C$6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16" t="n"/>
      <c r="B98" s="15" t="n"/>
      <c r="C98" s="7">
        <f>IFERROR(参数配置!$C$6*B98,"")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IFERROR(IF(F98&gt;=参数配置!$C$18,0,IF(F98&lt;=参数配置!$C$21,MAX(0,MIN(C98-H98,参数配置!$C$6*参数配置!$C$13)),MAX(0,MIN(C98-H98,参数配置!$C$6*参数配置!$C$12)))),"")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$6*参数配置!$D$23,IF(F98&lt;=参数配置!$C$22,I98+参数配置!$C$6*参数配置!$D$22,IF(F98&lt;=参数配置!$C$21,I98+参数配置!$C$6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16" t="n"/>
      <c r="B99" s="15" t="n"/>
      <c r="C99" s="7">
        <f>IFERROR(参数配置!$C$6*B99,"")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IFERROR(IF(F99&gt;=参数配置!$C$18,0,IF(F99&lt;=参数配置!$C$21,MAX(0,MIN(C99-H99,参数配置!$C$6*参数配置!$C$13)),MAX(0,MIN(C99-H99,参数配置!$C$6*参数配置!$C$12)))),"")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$6*参数配置!$D$23,IF(F99&lt;=参数配置!$C$22,I99+参数配置!$C$6*参数配置!$D$22,IF(F99&lt;=参数配置!$C$21,I99+参数配置!$C$6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16" t="n"/>
      <c r="B100" s="15" t="n"/>
      <c r="C100" s="7">
        <f>IFERROR(参数配置!$C$6*B100,"")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IFERROR(IF(F100&gt;=参数配置!$C$18,0,IF(F100&lt;=参数配置!$C$21,MAX(0,MIN(C100-H100,参数配置!$C$6*参数配置!$C$13)),MAX(0,MIN(C100-H100,参数配置!$C$6*参数配置!$C$12)))),"")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$6*参数配置!$D$23,IF(F100&lt;=参数配置!$C$22,I100+参数配置!$C$6*参数配置!$D$22,IF(F100&lt;=参数配置!$C$21,I100+参数配置!$C$6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16" t="n"/>
      <c r="B101" s="15" t="n"/>
      <c r="C101" s="7">
        <f>IFERROR(参数配置!$C$6*B101,"")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IFERROR(IF(F101&gt;=参数配置!$C$18,0,IF(F101&lt;=参数配置!$C$21,MAX(0,MIN(C101-H101,参数配置!$C$6*参数配置!$C$13)),MAX(0,MIN(C101-H101,参数配置!$C$6*参数配置!$C$12)))),"")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$6*参数配置!$D$23,IF(F101&lt;=参数配置!$C$22,I101+参数配置!$C$6*参数配置!$D$22,IF(F101&lt;=参数配置!$C$21,I101+参数配置!$C$6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16" t="n"/>
      <c r="B102" s="15" t="n"/>
      <c r="C102" s="7">
        <f>IFERROR(参数配置!$C$6*B102,"")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IFERROR(IF(F102&gt;=参数配置!$C$18,0,IF(F102&lt;=参数配置!$C$21,MAX(0,MIN(C102-H102,参数配置!$C$6*参数配置!$C$13)),MAX(0,MIN(C102-H102,参数配置!$C$6*参数配置!$C$12)))),"")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$6*参数配置!$D$23,IF(F102&lt;=参数配置!$C$22,I102+参数配置!$C$6*参数配置!$D$22,IF(F102&lt;=参数配置!$C$21,I102+参数配置!$C$6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16" t="n"/>
      <c r="B103" s="15" t="n"/>
      <c r="C103" s="7">
        <f>IFERROR(参数配置!$C$6*B103,"")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IFERROR(IF(F103&gt;=参数配置!$C$18,0,IF(F103&lt;=参数配置!$C$21,MAX(0,MIN(C103-H103,参数配置!$C$6*参数配置!$C$13)),MAX(0,MIN(C103-H103,参数配置!$C$6*参数配置!$C$12)))),"")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$6*参数配置!$D$23,IF(F103&lt;=参数配置!$C$22,I103+参数配置!$C$6*参数配置!$D$22,IF(F103&lt;=参数配置!$C$21,I103+参数配置!$C$6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16" t="n"/>
      <c r="B104" s="15" t="n"/>
      <c r="C104" s="7">
        <f>IFERROR(参数配置!$C$6*B104,"")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IFERROR(IF(F104&gt;=参数配置!$C$18,0,IF(F104&lt;=参数配置!$C$21,MAX(0,MIN(C104-H104,参数配置!$C$6*参数配置!$C$13)),MAX(0,MIN(C104-H104,参数配置!$C$6*参数配置!$C$12)))),"")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$6*参数配置!$D$23,IF(F104&lt;=参数配置!$C$22,I104+参数配置!$C$6*参数配置!$D$22,IF(F104&lt;=参数配置!$C$21,I104+参数配置!$C$6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IFERROR(参数配置!$C$7*B5,"")</f>
        <v/>
      </c>
      <c r="D5" s="26" t="n"/>
      <c r="E5" s="26" t="n"/>
      <c r="F5" s="27">
        <f>IFERROR((D5-E5)/E5,"")</f>
        <v/>
      </c>
      <c r="G5" s="26" t="n"/>
      <c r="H5" s="7">
        <f>IFERROR(G5*D5,"")</f>
        <v/>
      </c>
      <c r="I5" s="7">
        <f>IFERROR(IF(F5&gt;=参数配置!$C$18,0,IF(F5&lt;=参数配置!$C$21,MAX(0,MIN(C5-H5,参数配置!$C$7*参数配置!$C$13)),MAX(0,MIN(C5-H5,参数配置!$C$7*参数配置!$C$12)))),"")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$7*参数配置!$D$23,IF(F5&lt;=参数配置!$C$22,I5+参数配置!$C$7*参数配置!$D$22,IF(F5&lt;=参数配置!$C$21,I5+参数配置!$C$7*参数配置!$D$21,I5))))))),"")</f>
        <v/>
      </c>
      <c r="L5" s="17" t="n"/>
      <c r="M5" s="26" t="n"/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16" t="n"/>
      <c r="B6" s="15" t="n"/>
      <c r="C6" s="7">
        <f>IFERROR(参数配置!$C$7*B6,"")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IFERROR(IF(F6&gt;=参数配置!$C$18,0,IF(F6&lt;=参数配置!$C$21,MAX(0,MIN(C6-H6,参数配置!$C$7*参数配置!$C$13)),MAX(0,MIN(C6-H6,参数配置!$C$7*参数配置!$C$12)))),"")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$7*参数配置!$D$23,IF(F6&lt;=参数配置!$C$22,I6+参数配置!$C$7*参数配置!$D$22,IF(F6&lt;=参数配置!$C$21,I6+参数配置!$C$7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16" t="n"/>
      <c r="B7" s="15" t="n"/>
      <c r="C7" s="7">
        <f>IFERROR(参数配置!$C$7*B7,"")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IFERROR(IF(F7&gt;=参数配置!$C$18,0,IF(F7&lt;=参数配置!$C$21,MAX(0,MIN(C7-H7,参数配置!$C$7*参数配置!$C$13)),MAX(0,MIN(C7-H7,参数配置!$C$7*参数配置!$C$12)))),"")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$7*参数配置!$D$23,IF(F7&lt;=参数配置!$C$22,I7+参数配置!$C$7*参数配置!$D$22,IF(F7&lt;=参数配置!$C$21,I7+参数配置!$C$7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16" t="n"/>
      <c r="B8" s="15" t="n"/>
      <c r="C8" s="7">
        <f>IFERROR(参数配置!$C$7*B8,"")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IFERROR(IF(F8&gt;=参数配置!$C$18,0,IF(F8&lt;=参数配置!$C$21,MAX(0,MIN(C8-H8,参数配置!$C$7*参数配置!$C$13)),MAX(0,MIN(C8-H8,参数配置!$C$7*参数配置!$C$12)))),"")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$7*参数配置!$D$23,IF(F8&lt;=参数配置!$C$22,I8+参数配置!$C$7*参数配置!$D$22,IF(F8&lt;=参数配置!$C$21,I8+参数配置!$C$7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16" t="n"/>
      <c r="B9" s="15" t="n"/>
      <c r="C9" s="7">
        <f>IFERROR(参数配置!$C$7*B9,"")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IFERROR(IF(F9&gt;=参数配置!$C$18,0,IF(F9&lt;=参数配置!$C$21,MAX(0,MIN(C9-H9,参数配置!$C$7*参数配置!$C$13)),MAX(0,MIN(C9-H9,参数配置!$C$7*参数配置!$C$12)))),"")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$7*参数配置!$D$23,IF(F9&lt;=参数配置!$C$22,I9+参数配置!$C$7*参数配置!$D$22,IF(F9&lt;=参数配置!$C$21,I9+参数配置!$C$7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16" t="n"/>
      <c r="B10" s="15" t="n"/>
      <c r="C10" s="7">
        <f>IFERROR(参数配置!$C$7*B10,"")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IFERROR(IF(F10&gt;=参数配置!$C$18,0,IF(F10&lt;=参数配置!$C$21,MAX(0,MIN(C10-H10,参数配置!$C$7*参数配置!$C$13)),MAX(0,MIN(C10-H10,参数配置!$C$7*参数配置!$C$12)))),"")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$7*参数配置!$D$23,IF(F10&lt;=参数配置!$C$22,I10+参数配置!$C$7*参数配置!$D$22,IF(F10&lt;=参数配置!$C$21,I10+参数配置!$C$7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16" t="n"/>
      <c r="B11" s="15" t="n"/>
      <c r="C11" s="7">
        <f>IFERROR(参数配置!$C$7*B11,"")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IFERROR(IF(F11&gt;=参数配置!$C$18,0,IF(F11&lt;=参数配置!$C$21,MAX(0,MIN(C11-H11,参数配置!$C$7*参数配置!$C$13)),MAX(0,MIN(C11-H11,参数配置!$C$7*参数配置!$C$12)))),"")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$7*参数配置!$D$23,IF(F11&lt;=参数配置!$C$22,I11+参数配置!$C$7*参数配置!$D$22,IF(F11&lt;=参数配置!$C$21,I11+参数配置!$C$7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16" t="n"/>
      <c r="B12" s="15" t="n"/>
      <c r="C12" s="7">
        <f>IFERROR(参数配置!$C$7*B12,"")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IFERROR(IF(F12&gt;=参数配置!$C$18,0,IF(F12&lt;=参数配置!$C$21,MAX(0,MIN(C12-H12,参数配置!$C$7*参数配置!$C$13)),MAX(0,MIN(C12-H12,参数配置!$C$7*参数配置!$C$12)))),"")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$7*参数配置!$D$23,IF(F12&lt;=参数配置!$C$22,I12+参数配置!$C$7*参数配置!$D$22,IF(F12&lt;=参数配置!$C$21,I12+参数配置!$C$7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16" t="n"/>
      <c r="B13" s="15" t="n"/>
      <c r="C13" s="7">
        <f>IFERROR(参数配置!$C$7*B13,"")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IFERROR(IF(F13&gt;=参数配置!$C$18,0,IF(F13&lt;=参数配置!$C$21,MAX(0,MIN(C13-H13,参数配置!$C$7*参数配置!$C$13)),MAX(0,MIN(C13-H13,参数配置!$C$7*参数配置!$C$12)))),"")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$7*参数配置!$D$23,IF(F13&lt;=参数配置!$C$22,I13+参数配置!$C$7*参数配置!$D$22,IF(F13&lt;=参数配置!$C$21,I13+参数配置!$C$7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16" t="n"/>
      <c r="B14" s="15" t="n"/>
      <c r="C14" s="7">
        <f>IFERROR(参数配置!$C$7*B14,"")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IFERROR(IF(F14&gt;=参数配置!$C$18,0,IF(F14&lt;=参数配置!$C$21,MAX(0,MIN(C14-H14,参数配置!$C$7*参数配置!$C$13)),MAX(0,MIN(C14-H14,参数配置!$C$7*参数配置!$C$12)))),"")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$7*参数配置!$D$23,IF(F14&lt;=参数配置!$C$22,I14+参数配置!$C$7*参数配置!$D$22,IF(F14&lt;=参数配置!$C$21,I14+参数配置!$C$7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16" t="n"/>
      <c r="B15" s="15" t="n"/>
      <c r="C15" s="7">
        <f>IFERROR(参数配置!$C$7*B15,"")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IFERROR(IF(F15&gt;=参数配置!$C$18,0,IF(F15&lt;=参数配置!$C$21,MAX(0,MIN(C15-H15,参数配置!$C$7*参数配置!$C$13)),MAX(0,MIN(C15-H15,参数配置!$C$7*参数配置!$C$12)))),"")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$7*参数配置!$D$23,IF(F15&lt;=参数配置!$C$22,I15+参数配置!$C$7*参数配置!$D$22,IF(F15&lt;=参数配置!$C$21,I15+参数配置!$C$7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16" t="n"/>
      <c r="B16" s="15" t="n"/>
      <c r="C16" s="7">
        <f>IFERROR(参数配置!$C$7*B16,"")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IFERROR(IF(F16&gt;=参数配置!$C$18,0,IF(F16&lt;=参数配置!$C$21,MAX(0,MIN(C16-H16,参数配置!$C$7*参数配置!$C$13)),MAX(0,MIN(C16-H16,参数配置!$C$7*参数配置!$C$12)))),"")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$7*参数配置!$D$23,IF(F16&lt;=参数配置!$C$22,I16+参数配置!$C$7*参数配置!$D$22,IF(F16&lt;=参数配置!$C$21,I16+参数配置!$C$7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16" t="n"/>
      <c r="B17" s="15" t="n"/>
      <c r="C17" s="7">
        <f>IFERROR(参数配置!$C$7*B17,"")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IFERROR(IF(F17&gt;=参数配置!$C$18,0,IF(F17&lt;=参数配置!$C$21,MAX(0,MIN(C17-H17,参数配置!$C$7*参数配置!$C$13)),MAX(0,MIN(C17-H17,参数配置!$C$7*参数配置!$C$12)))),"")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$7*参数配置!$D$23,IF(F17&lt;=参数配置!$C$22,I17+参数配置!$C$7*参数配置!$D$22,IF(F17&lt;=参数配置!$C$21,I17+参数配置!$C$7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16" t="n"/>
      <c r="B18" s="15" t="n"/>
      <c r="C18" s="7">
        <f>IFERROR(参数配置!$C$7*B18,"")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IFERROR(IF(F18&gt;=参数配置!$C$18,0,IF(F18&lt;=参数配置!$C$21,MAX(0,MIN(C18-H18,参数配置!$C$7*参数配置!$C$13)),MAX(0,MIN(C18-H18,参数配置!$C$7*参数配置!$C$12)))),"")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$7*参数配置!$D$23,IF(F18&lt;=参数配置!$C$22,I18+参数配置!$C$7*参数配置!$D$22,IF(F18&lt;=参数配置!$C$21,I18+参数配置!$C$7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16" t="n"/>
      <c r="B19" s="15" t="n"/>
      <c r="C19" s="7">
        <f>IFERROR(参数配置!$C$7*B19,"")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IFERROR(IF(F19&gt;=参数配置!$C$18,0,IF(F19&lt;=参数配置!$C$21,MAX(0,MIN(C19-H19,参数配置!$C$7*参数配置!$C$13)),MAX(0,MIN(C19-H19,参数配置!$C$7*参数配置!$C$12)))),"")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$7*参数配置!$D$23,IF(F19&lt;=参数配置!$C$22,I19+参数配置!$C$7*参数配置!$D$22,IF(F19&lt;=参数配置!$C$21,I19+参数配置!$C$7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16" t="n"/>
      <c r="B20" s="15" t="n"/>
      <c r="C20" s="7">
        <f>IFERROR(参数配置!$C$7*B20,"")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IFERROR(IF(F20&gt;=参数配置!$C$18,0,IF(F20&lt;=参数配置!$C$21,MAX(0,MIN(C20-H20,参数配置!$C$7*参数配置!$C$13)),MAX(0,MIN(C20-H20,参数配置!$C$7*参数配置!$C$12)))),"")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$7*参数配置!$D$23,IF(F20&lt;=参数配置!$C$22,I20+参数配置!$C$7*参数配置!$D$22,IF(F20&lt;=参数配置!$C$21,I20+参数配置!$C$7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16" t="n"/>
      <c r="B21" s="15" t="n"/>
      <c r="C21" s="7">
        <f>IFERROR(参数配置!$C$7*B21,"")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IFERROR(IF(F21&gt;=参数配置!$C$18,0,IF(F21&lt;=参数配置!$C$21,MAX(0,MIN(C21-H21,参数配置!$C$7*参数配置!$C$13)),MAX(0,MIN(C21-H21,参数配置!$C$7*参数配置!$C$12)))),"")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$7*参数配置!$D$23,IF(F21&lt;=参数配置!$C$22,I21+参数配置!$C$7*参数配置!$D$22,IF(F21&lt;=参数配置!$C$21,I21+参数配置!$C$7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16" t="n"/>
      <c r="B22" s="15" t="n"/>
      <c r="C22" s="7">
        <f>IFERROR(参数配置!$C$7*B22,"")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IFERROR(IF(F22&gt;=参数配置!$C$18,0,IF(F22&lt;=参数配置!$C$21,MAX(0,MIN(C22-H22,参数配置!$C$7*参数配置!$C$13)),MAX(0,MIN(C22-H22,参数配置!$C$7*参数配置!$C$12)))),"")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$7*参数配置!$D$23,IF(F22&lt;=参数配置!$C$22,I22+参数配置!$C$7*参数配置!$D$22,IF(F22&lt;=参数配置!$C$21,I22+参数配置!$C$7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16" t="n"/>
      <c r="B23" s="15" t="n"/>
      <c r="C23" s="7">
        <f>IFERROR(参数配置!$C$7*B23,"")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IFERROR(IF(F23&gt;=参数配置!$C$18,0,IF(F23&lt;=参数配置!$C$21,MAX(0,MIN(C23-H23,参数配置!$C$7*参数配置!$C$13)),MAX(0,MIN(C23-H23,参数配置!$C$7*参数配置!$C$12)))),"")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$7*参数配置!$D$23,IF(F23&lt;=参数配置!$C$22,I23+参数配置!$C$7*参数配置!$D$22,IF(F23&lt;=参数配置!$C$21,I23+参数配置!$C$7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16" t="n"/>
      <c r="B24" s="15" t="n"/>
      <c r="C24" s="7">
        <f>IFERROR(参数配置!$C$7*B24,"")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IFERROR(IF(F24&gt;=参数配置!$C$18,0,IF(F24&lt;=参数配置!$C$21,MAX(0,MIN(C24-H24,参数配置!$C$7*参数配置!$C$13)),MAX(0,MIN(C24-H24,参数配置!$C$7*参数配置!$C$12)))),"")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$7*参数配置!$D$23,IF(F24&lt;=参数配置!$C$22,I24+参数配置!$C$7*参数配置!$D$22,IF(F24&lt;=参数配置!$C$21,I24+参数配置!$C$7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16" t="n"/>
      <c r="B25" s="15" t="n"/>
      <c r="C25" s="7">
        <f>IFERROR(参数配置!$C$7*B25,"")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IFERROR(IF(F25&gt;=参数配置!$C$18,0,IF(F25&lt;=参数配置!$C$21,MAX(0,MIN(C25-H25,参数配置!$C$7*参数配置!$C$13)),MAX(0,MIN(C25-H25,参数配置!$C$7*参数配置!$C$12)))),"")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$7*参数配置!$D$23,IF(F25&lt;=参数配置!$C$22,I25+参数配置!$C$7*参数配置!$D$22,IF(F25&lt;=参数配置!$C$21,I25+参数配置!$C$7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16" t="n"/>
      <c r="B26" s="15" t="n"/>
      <c r="C26" s="7">
        <f>IFERROR(参数配置!$C$7*B26,"")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IFERROR(IF(F26&gt;=参数配置!$C$18,0,IF(F26&lt;=参数配置!$C$21,MAX(0,MIN(C26-H26,参数配置!$C$7*参数配置!$C$13)),MAX(0,MIN(C26-H26,参数配置!$C$7*参数配置!$C$12)))),"")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$7*参数配置!$D$23,IF(F26&lt;=参数配置!$C$22,I26+参数配置!$C$7*参数配置!$D$22,IF(F26&lt;=参数配置!$C$21,I26+参数配置!$C$7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16" t="n"/>
      <c r="B27" s="15" t="n"/>
      <c r="C27" s="7">
        <f>IFERROR(参数配置!$C$7*B27,"")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IFERROR(IF(F27&gt;=参数配置!$C$18,0,IF(F27&lt;=参数配置!$C$21,MAX(0,MIN(C27-H27,参数配置!$C$7*参数配置!$C$13)),MAX(0,MIN(C27-H27,参数配置!$C$7*参数配置!$C$12)))),"")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$7*参数配置!$D$23,IF(F27&lt;=参数配置!$C$22,I27+参数配置!$C$7*参数配置!$D$22,IF(F27&lt;=参数配置!$C$21,I27+参数配置!$C$7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16" t="n"/>
      <c r="B28" s="15" t="n"/>
      <c r="C28" s="7">
        <f>IFERROR(参数配置!$C$7*B28,"")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IFERROR(IF(F28&gt;=参数配置!$C$18,0,IF(F28&lt;=参数配置!$C$21,MAX(0,MIN(C28-H28,参数配置!$C$7*参数配置!$C$13)),MAX(0,MIN(C28-H28,参数配置!$C$7*参数配置!$C$12)))),"")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$7*参数配置!$D$23,IF(F28&lt;=参数配置!$C$22,I28+参数配置!$C$7*参数配置!$D$22,IF(F28&lt;=参数配置!$C$21,I28+参数配置!$C$7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16" t="n"/>
      <c r="B29" s="15" t="n"/>
      <c r="C29" s="7">
        <f>IFERROR(参数配置!$C$7*B29,"")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IFERROR(IF(F29&gt;=参数配置!$C$18,0,IF(F29&lt;=参数配置!$C$21,MAX(0,MIN(C29-H29,参数配置!$C$7*参数配置!$C$13)),MAX(0,MIN(C29-H29,参数配置!$C$7*参数配置!$C$12)))),"")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$7*参数配置!$D$23,IF(F29&lt;=参数配置!$C$22,I29+参数配置!$C$7*参数配置!$D$22,IF(F29&lt;=参数配置!$C$21,I29+参数配置!$C$7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16" t="n"/>
      <c r="B30" s="15" t="n"/>
      <c r="C30" s="7">
        <f>IFERROR(参数配置!$C$7*B30,"")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IFERROR(IF(F30&gt;=参数配置!$C$18,0,IF(F30&lt;=参数配置!$C$21,MAX(0,MIN(C30-H30,参数配置!$C$7*参数配置!$C$13)),MAX(0,MIN(C30-H30,参数配置!$C$7*参数配置!$C$12)))),"")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$7*参数配置!$D$23,IF(F30&lt;=参数配置!$C$22,I30+参数配置!$C$7*参数配置!$D$22,IF(F30&lt;=参数配置!$C$21,I30+参数配置!$C$7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16" t="n"/>
      <c r="B31" s="15" t="n"/>
      <c r="C31" s="7">
        <f>IFERROR(参数配置!$C$7*B31,"")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IFERROR(IF(F31&gt;=参数配置!$C$18,0,IF(F31&lt;=参数配置!$C$21,MAX(0,MIN(C31-H31,参数配置!$C$7*参数配置!$C$13)),MAX(0,MIN(C31-H31,参数配置!$C$7*参数配置!$C$12)))),"")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$7*参数配置!$D$23,IF(F31&lt;=参数配置!$C$22,I31+参数配置!$C$7*参数配置!$D$22,IF(F31&lt;=参数配置!$C$21,I31+参数配置!$C$7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16" t="n"/>
      <c r="B32" s="15" t="n"/>
      <c r="C32" s="7">
        <f>IFERROR(参数配置!$C$7*B32,"")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IFERROR(IF(F32&gt;=参数配置!$C$18,0,IF(F32&lt;=参数配置!$C$21,MAX(0,MIN(C32-H32,参数配置!$C$7*参数配置!$C$13)),MAX(0,MIN(C32-H32,参数配置!$C$7*参数配置!$C$12)))),"")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$7*参数配置!$D$23,IF(F32&lt;=参数配置!$C$22,I32+参数配置!$C$7*参数配置!$D$22,IF(F32&lt;=参数配置!$C$21,I32+参数配置!$C$7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16" t="n"/>
      <c r="B33" s="15" t="n"/>
      <c r="C33" s="7">
        <f>IFERROR(参数配置!$C$7*B33,"")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IFERROR(IF(F33&gt;=参数配置!$C$18,0,IF(F33&lt;=参数配置!$C$21,MAX(0,MIN(C33-H33,参数配置!$C$7*参数配置!$C$13)),MAX(0,MIN(C33-H33,参数配置!$C$7*参数配置!$C$12)))),"")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$7*参数配置!$D$23,IF(F33&lt;=参数配置!$C$22,I33+参数配置!$C$7*参数配置!$D$22,IF(F33&lt;=参数配置!$C$21,I33+参数配置!$C$7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16" t="n"/>
      <c r="B34" s="15" t="n"/>
      <c r="C34" s="7">
        <f>IFERROR(参数配置!$C$7*B34,"")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IFERROR(IF(F34&gt;=参数配置!$C$18,0,IF(F34&lt;=参数配置!$C$21,MAX(0,MIN(C34-H34,参数配置!$C$7*参数配置!$C$13)),MAX(0,MIN(C34-H34,参数配置!$C$7*参数配置!$C$12)))),"")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$7*参数配置!$D$23,IF(F34&lt;=参数配置!$C$22,I34+参数配置!$C$7*参数配置!$D$22,IF(F34&lt;=参数配置!$C$21,I34+参数配置!$C$7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16" t="n"/>
      <c r="B35" s="15" t="n"/>
      <c r="C35" s="7">
        <f>IFERROR(参数配置!$C$7*B35,"")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IFERROR(IF(F35&gt;=参数配置!$C$18,0,IF(F35&lt;=参数配置!$C$21,MAX(0,MIN(C35-H35,参数配置!$C$7*参数配置!$C$13)),MAX(0,MIN(C35-H35,参数配置!$C$7*参数配置!$C$12)))),"")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$7*参数配置!$D$23,IF(F35&lt;=参数配置!$C$22,I35+参数配置!$C$7*参数配置!$D$22,IF(F35&lt;=参数配置!$C$21,I35+参数配置!$C$7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16" t="n"/>
      <c r="B36" s="15" t="n"/>
      <c r="C36" s="7">
        <f>IFERROR(参数配置!$C$7*B36,"")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IFERROR(IF(F36&gt;=参数配置!$C$18,0,IF(F36&lt;=参数配置!$C$21,MAX(0,MIN(C36-H36,参数配置!$C$7*参数配置!$C$13)),MAX(0,MIN(C36-H36,参数配置!$C$7*参数配置!$C$12)))),"")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$7*参数配置!$D$23,IF(F36&lt;=参数配置!$C$22,I36+参数配置!$C$7*参数配置!$D$22,IF(F36&lt;=参数配置!$C$21,I36+参数配置!$C$7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16" t="n"/>
      <c r="B37" s="15" t="n"/>
      <c r="C37" s="7">
        <f>IFERROR(参数配置!$C$7*B37,"")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IFERROR(IF(F37&gt;=参数配置!$C$18,0,IF(F37&lt;=参数配置!$C$21,MAX(0,MIN(C37-H37,参数配置!$C$7*参数配置!$C$13)),MAX(0,MIN(C37-H37,参数配置!$C$7*参数配置!$C$12)))),"")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$7*参数配置!$D$23,IF(F37&lt;=参数配置!$C$22,I37+参数配置!$C$7*参数配置!$D$22,IF(F37&lt;=参数配置!$C$21,I37+参数配置!$C$7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16" t="n"/>
      <c r="B38" s="15" t="n"/>
      <c r="C38" s="7">
        <f>IFERROR(参数配置!$C$7*B38,"")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IFERROR(IF(F38&gt;=参数配置!$C$18,0,IF(F38&lt;=参数配置!$C$21,MAX(0,MIN(C38-H38,参数配置!$C$7*参数配置!$C$13)),MAX(0,MIN(C38-H38,参数配置!$C$7*参数配置!$C$12)))),"")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$7*参数配置!$D$23,IF(F38&lt;=参数配置!$C$22,I38+参数配置!$C$7*参数配置!$D$22,IF(F38&lt;=参数配置!$C$21,I38+参数配置!$C$7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16" t="n"/>
      <c r="B39" s="15" t="n"/>
      <c r="C39" s="7">
        <f>IFERROR(参数配置!$C$7*B39,"")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IFERROR(IF(F39&gt;=参数配置!$C$18,0,IF(F39&lt;=参数配置!$C$21,MAX(0,MIN(C39-H39,参数配置!$C$7*参数配置!$C$13)),MAX(0,MIN(C39-H39,参数配置!$C$7*参数配置!$C$12)))),"")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$7*参数配置!$D$23,IF(F39&lt;=参数配置!$C$22,I39+参数配置!$C$7*参数配置!$D$22,IF(F39&lt;=参数配置!$C$21,I39+参数配置!$C$7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16" t="n"/>
      <c r="B40" s="15" t="n"/>
      <c r="C40" s="7">
        <f>IFERROR(参数配置!$C$7*B40,"")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IFERROR(IF(F40&gt;=参数配置!$C$18,0,IF(F40&lt;=参数配置!$C$21,MAX(0,MIN(C40-H40,参数配置!$C$7*参数配置!$C$13)),MAX(0,MIN(C40-H40,参数配置!$C$7*参数配置!$C$12)))),"")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$7*参数配置!$D$23,IF(F40&lt;=参数配置!$C$22,I40+参数配置!$C$7*参数配置!$D$22,IF(F40&lt;=参数配置!$C$21,I40+参数配置!$C$7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16" t="n"/>
      <c r="B41" s="15" t="n"/>
      <c r="C41" s="7">
        <f>IFERROR(参数配置!$C$7*B41,"")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IFERROR(IF(F41&gt;=参数配置!$C$18,0,IF(F41&lt;=参数配置!$C$21,MAX(0,MIN(C41-H41,参数配置!$C$7*参数配置!$C$13)),MAX(0,MIN(C41-H41,参数配置!$C$7*参数配置!$C$12)))),"")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$7*参数配置!$D$23,IF(F41&lt;=参数配置!$C$22,I41+参数配置!$C$7*参数配置!$D$22,IF(F41&lt;=参数配置!$C$21,I41+参数配置!$C$7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16" t="n"/>
      <c r="B42" s="15" t="n"/>
      <c r="C42" s="7">
        <f>IFERROR(参数配置!$C$7*B42,"")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IFERROR(IF(F42&gt;=参数配置!$C$18,0,IF(F42&lt;=参数配置!$C$21,MAX(0,MIN(C42-H42,参数配置!$C$7*参数配置!$C$13)),MAX(0,MIN(C42-H42,参数配置!$C$7*参数配置!$C$12)))),"")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$7*参数配置!$D$23,IF(F42&lt;=参数配置!$C$22,I42+参数配置!$C$7*参数配置!$D$22,IF(F42&lt;=参数配置!$C$21,I42+参数配置!$C$7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16" t="n"/>
      <c r="B43" s="15" t="n"/>
      <c r="C43" s="7">
        <f>IFERROR(参数配置!$C$7*B43,"")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IFERROR(IF(F43&gt;=参数配置!$C$18,0,IF(F43&lt;=参数配置!$C$21,MAX(0,MIN(C43-H43,参数配置!$C$7*参数配置!$C$13)),MAX(0,MIN(C43-H43,参数配置!$C$7*参数配置!$C$12)))),"")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$7*参数配置!$D$23,IF(F43&lt;=参数配置!$C$22,I43+参数配置!$C$7*参数配置!$D$22,IF(F43&lt;=参数配置!$C$21,I43+参数配置!$C$7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16" t="n"/>
      <c r="B44" s="15" t="n"/>
      <c r="C44" s="7">
        <f>IFERROR(参数配置!$C$7*B44,"")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IFERROR(IF(F44&gt;=参数配置!$C$18,0,IF(F44&lt;=参数配置!$C$21,MAX(0,MIN(C44-H44,参数配置!$C$7*参数配置!$C$13)),MAX(0,MIN(C44-H44,参数配置!$C$7*参数配置!$C$12)))),"")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$7*参数配置!$D$23,IF(F44&lt;=参数配置!$C$22,I44+参数配置!$C$7*参数配置!$D$22,IF(F44&lt;=参数配置!$C$21,I44+参数配置!$C$7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16" t="n"/>
      <c r="B45" s="15" t="n"/>
      <c r="C45" s="7">
        <f>IFERROR(参数配置!$C$7*B45,"")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IFERROR(IF(F45&gt;=参数配置!$C$18,0,IF(F45&lt;=参数配置!$C$21,MAX(0,MIN(C45-H45,参数配置!$C$7*参数配置!$C$13)),MAX(0,MIN(C45-H45,参数配置!$C$7*参数配置!$C$12)))),"")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$7*参数配置!$D$23,IF(F45&lt;=参数配置!$C$22,I45+参数配置!$C$7*参数配置!$D$22,IF(F45&lt;=参数配置!$C$21,I45+参数配置!$C$7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16" t="n"/>
      <c r="B46" s="15" t="n"/>
      <c r="C46" s="7">
        <f>IFERROR(参数配置!$C$7*B46,"")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IFERROR(IF(F46&gt;=参数配置!$C$18,0,IF(F46&lt;=参数配置!$C$21,MAX(0,MIN(C46-H46,参数配置!$C$7*参数配置!$C$13)),MAX(0,MIN(C46-H46,参数配置!$C$7*参数配置!$C$12)))),"")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$7*参数配置!$D$23,IF(F46&lt;=参数配置!$C$22,I46+参数配置!$C$7*参数配置!$D$22,IF(F46&lt;=参数配置!$C$21,I46+参数配置!$C$7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16" t="n"/>
      <c r="B47" s="15" t="n"/>
      <c r="C47" s="7">
        <f>IFERROR(参数配置!$C$7*B47,"")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IFERROR(IF(F47&gt;=参数配置!$C$18,0,IF(F47&lt;=参数配置!$C$21,MAX(0,MIN(C47-H47,参数配置!$C$7*参数配置!$C$13)),MAX(0,MIN(C47-H47,参数配置!$C$7*参数配置!$C$12)))),"")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$7*参数配置!$D$23,IF(F47&lt;=参数配置!$C$22,I47+参数配置!$C$7*参数配置!$D$22,IF(F47&lt;=参数配置!$C$21,I47+参数配置!$C$7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16" t="n"/>
      <c r="B48" s="15" t="n"/>
      <c r="C48" s="7">
        <f>IFERROR(参数配置!$C$7*B48,"")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IFERROR(IF(F48&gt;=参数配置!$C$18,0,IF(F48&lt;=参数配置!$C$21,MAX(0,MIN(C48-H48,参数配置!$C$7*参数配置!$C$13)),MAX(0,MIN(C48-H48,参数配置!$C$7*参数配置!$C$12)))),"")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$7*参数配置!$D$23,IF(F48&lt;=参数配置!$C$22,I48+参数配置!$C$7*参数配置!$D$22,IF(F48&lt;=参数配置!$C$21,I48+参数配置!$C$7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16" t="n"/>
      <c r="B49" s="15" t="n"/>
      <c r="C49" s="7">
        <f>IFERROR(参数配置!$C$7*B49,"")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IFERROR(IF(F49&gt;=参数配置!$C$18,0,IF(F49&lt;=参数配置!$C$21,MAX(0,MIN(C49-H49,参数配置!$C$7*参数配置!$C$13)),MAX(0,MIN(C49-H49,参数配置!$C$7*参数配置!$C$12)))),"")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$7*参数配置!$D$23,IF(F49&lt;=参数配置!$C$22,I49+参数配置!$C$7*参数配置!$D$22,IF(F49&lt;=参数配置!$C$21,I49+参数配置!$C$7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16" t="n"/>
      <c r="B50" s="15" t="n"/>
      <c r="C50" s="7">
        <f>IFERROR(参数配置!$C$7*B50,"")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IFERROR(IF(F50&gt;=参数配置!$C$18,0,IF(F50&lt;=参数配置!$C$21,MAX(0,MIN(C50-H50,参数配置!$C$7*参数配置!$C$13)),MAX(0,MIN(C50-H50,参数配置!$C$7*参数配置!$C$12)))),"")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$7*参数配置!$D$23,IF(F50&lt;=参数配置!$C$22,I50+参数配置!$C$7*参数配置!$D$22,IF(F50&lt;=参数配置!$C$21,I50+参数配置!$C$7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16" t="n"/>
      <c r="B51" s="15" t="n"/>
      <c r="C51" s="7">
        <f>IFERROR(参数配置!$C$7*B51,"")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IFERROR(IF(F51&gt;=参数配置!$C$18,0,IF(F51&lt;=参数配置!$C$21,MAX(0,MIN(C51-H51,参数配置!$C$7*参数配置!$C$13)),MAX(0,MIN(C51-H51,参数配置!$C$7*参数配置!$C$12)))),"")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$7*参数配置!$D$23,IF(F51&lt;=参数配置!$C$22,I51+参数配置!$C$7*参数配置!$D$22,IF(F51&lt;=参数配置!$C$21,I51+参数配置!$C$7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16" t="n"/>
      <c r="B52" s="15" t="n"/>
      <c r="C52" s="7">
        <f>IFERROR(参数配置!$C$7*B52,"")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IFERROR(IF(F52&gt;=参数配置!$C$18,0,IF(F52&lt;=参数配置!$C$21,MAX(0,MIN(C52-H52,参数配置!$C$7*参数配置!$C$13)),MAX(0,MIN(C52-H52,参数配置!$C$7*参数配置!$C$12)))),"")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$7*参数配置!$D$23,IF(F52&lt;=参数配置!$C$22,I52+参数配置!$C$7*参数配置!$D$22,IF(F52&lt;=参数配置!$C$21,I52+参数配置!$C$7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16" t="n"/>
      <c r="B53" s="15" t="n"/>
      <c r="C53" s="7">
        <f>IFERROR(参数配置!$C$7*B53,"")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IFERROR(IF(F53&gt;=参数配置!$C$18,0,IF(F53&lt;=参数配置!$C$21,MAX(0,MIN(C53-H53,参数配置!$C$7*参数配置!$C$13)),MAX(0,MIN(C53-H53,参数配置!$C$7*参数配置!$C$12)))),"")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$7*参数配置!$D$23,IF(F53&lt;=参数配置!$C$22,I53+参数配置!$C$7*参数配置!$D$22,IF(F53&lt;=参数配置!$C$21,I53+参数配置!$C$7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16" t="n"/>
      <c r="B54" s="15" t="n"/>
      <c r="C54" s="7">
        <f>IFERROR(参数配置!$C$7*B54,"")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IFERROR(IF(F54&gt;=参数配置!$C$18,0,IF(F54&lt;=参数配置!$C$21,MAX(0,MIN(C54-H54,参数配置!$C$7*参数配置!$C$13)),MAX(0,MIN(C54-H54,参数配置!$C$7*参数配置!$C$12)))),"")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$7*参数配置!$D$23,IF(F54&lt;=参数配置!$C$22,I54+参数配置!$C$7*参数配置!$D$22,IF(F54&lt;=参数配置!$C$21,I54+参数配置!$C$7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16" t="n"/>
      <c r="B55" s="15" t="n"/>
      <c r="C55" s="7">
        <f>IFERROR(参数配置!$C$7*B55,"")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IFERROR(IF(F55&gt;=参数配置!$C$18,0,IF(F55&lt;=参数配置!$C$21,MAX(0,MIN(C55-H55,参数配置!$C$7*参数配置!$C$13)),MAX(0,MIN(C55-H55,参数配置!$C$7*参数配置!$C$12)))),"")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$7*参数配置!$D$23,IF(F55&lt;=参数配置!$C$22,I55+参数配置!$C$7*参数配置!$D$22,IF(F55&lt;=参数配置!$C$21,I55+参数配置!$C$7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16" t="n"/>
      <c r="B56" s="15" t="n"/>
      <c r="C56" s="7">
        <f>IFERROR(参数配置!$C$7*B56,"")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IFERROR(IF(F56&gt;=参数配置!$C$18,0,IF(F56&lt;=参数配置!$C$21,MAX(0,MIN(C56-H56,参数配置!$C$7*参数配置!$C$13)),MAX(0,MIN(C56-H56,参数配置!$C$7*参数配置!$C$12)))),"")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$7*参数配置!$D$23,IF(F56&lt;=参数配置!$C$22,I56+参数配置!$C$7*参数配置!$D$22,IF(F56&lt;=参数配置!$C$21,I56+参数配置!$C$7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16" t="n"/>
      <c r="B57" s="15" t="n"/>
      <c r="C57" s="7">
        <f>IFERROR(参数配置!$C$7*B57,"")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IFERROR(IF(F57&gt;=参数配置!$C$18,0,IF(F57&lt;=参数配置!$C$21,MAX(0,MIN(C57-H57,参数配置!$C$7*参数配置!$C$13)),MAX(0,MIN(C57-H57,参数配置!$C$7*参数配置!$C$12)))),"")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$7*参数配置!$D$23,IF(F57&lt;=参数配置!$C$22,I57+参数配置!$C$7*参数配置!$D$22,IF(F57&lt;=参数配置!$C$21,I57+参数配置!$C$7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16" t="n"/>
      <c r="B58" s="15" t="n"/>
      <c r="C58" s="7">
        <f>IFERROR(参数配置!$C$7*B58,"")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IFERROR(IF(F58&gt;=参数配置!$C$18,0,IF(F58&lt;=参数配置!$C$21,MAX(0,MIN(C58-H58,参数配置!$C$7*参数配置!$C$13)),MAX(0,MIN(C58-H58,参数配置!$C$7*参数配置!$C$12)))),"")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$7*参数配置!$D$23,IF(F58&lt;=参数配置!$C$22,I58+参数配置!$C$7*参数配置!$D$22,IF(F58&lt;=参数配置!$C$21,I58+参数配置!$C$7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16" t="n"/>
      <c r="B59" s="15" t="n"/>
      <c r="C59" s="7">
        <f>IFERROR(参数配置!$C$7*B59,"")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IFERROR(IF(F59&gt;=参数配置!$C$18,0,IF(F59&lt;=参数配置!$C$21,MAX(0,MIN(C59-H59,参数配置!$C$7*参数配置!$C$13)),MAX(0,MIN(C59-H59,参数配置!$C$7*参数配置!$C$12)))),"")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$7*参数配置!$D$23,IF(F59&lt;=参数配置!$C$22,I59+参数配置!$C$7*参数配置!$D$22,IF(F59&lt;=参数配置!$C$21,I59+参数配置!$C$7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16" t="n"/>
      <c r="B60" s="15" t="n"/>
      <c r="C60" s="7">
        <f>IFERROR(参数配置!$C$7*B60,"")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IFERROR(IF(F60&gt;=参数配置!$C$18,0,IF(F60&lt;=参数配置!$C$21,MAX(0,MIN(C60-H60,参数配置!$C$7*参数配置!$C$13)),MAX(0,MIN(C60-H60,参数配置!$C$7*参数配置!$C$12)))),"")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$7*参数配置!$D$23,IF(F60&lt;=参数配置!$C$22,I60+参数配置!$C$7*参数配置!$D$22,IF(F60&lt;=参数配置!$C$21,I60+参数配置!$C$7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16" t="n"/>
      <c r="B61" s="15" t="n"/>
      <c r="C61" s="7">
        <f>IFERROR(参数配置!$C$7*B61,"")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IFERROR(IF(F61&gt;=参数配置!$C$18,0,IF(F61&lt;=参数配置!$C$21,MAX(0,MIN(C61-H61,参数配置!$C$7*参数配置!$C$13)),MAX(0,MIN(C61-H61,参数配置!$C$7*参数配置!$C$12)))),"")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$7*参数配置!$D$23,IF(F61&lt;=参数配置!$C$22,I61+参数配置!$C$7*参数配置!$D$22,IF(F61&lt;=参数配置!$C$21,I61+参数配置!$C$7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16" t="n"/>
      <c r="B62" s="15" t="n"/>
      <c r="C62" s="7">
        <f>IFERROR(参数配置!$C$7*B62,"")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IFERROR(IF(F62&gt;=参数配置!$C$18,0,IF(F62&lt;=参数配置!$C$21,MAX(0,MIN(C62-H62,参数配置!$C$7*参数配置!$C$13)),MAX(0,MIN(C62-H62,参数配置!$C$7*参数配置!$C$12)))),"")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$7*参数配置!$D$23,IF(F62&lt;=参数配置!$C$22,I62+参数配置!$C$7*参数配置!$D$22,IF(F62&lt;=参数配置!$C$21,I62+参数配置!$C$7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16" t="n"/>
      <c r="B63" s="15" t="n"/>
      <c r="C63" s="7">
        <f>IFERROR(参数配置!$C$7*B63,"")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IFERROR(IF(F63&gt;=参数配置!$C$18,0,IF(F63&lt;=参数配置!$C$21,MAX(0,MIN(C63-H63,参数配置!$C$7*参数配置!$C$13)),MAX(0,MIN(C63-H63,参数配置!$C$7*参数配置!$C$12)))),"")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$7*参数配置!$D$23,IF(F63&lt;=参数配置!$C$22,I63+参数配置!$C$7*参数配置!$D$22,IF(F63&lt;=参数配置!$C$21,I63+参数配置!$C$7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16" t="n"/>
      <c r="B64" s="15" t="n"/>
      <c r="C64" s="7">
        <f>IFERROR(参数配置!$C$7*B64,"")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IFERROR(IF(F64&gt;=参数配置!$C$18,0,IF(F64&lt;=参数配置!$C$21,MAX(0,MIN(C64-H64,参数配置!$C$7*参数配置!$C$13)),MAX(0,MIN(C64-H64,参数配置!$C$7*参数配置!$C$12)))),"")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$7*参数配置!$D$23,IF(F64&lt;=参数配置!$C$22,I64+参数配置!$C$7*参数配置!$D$22,IF(F64&lt;=参数配置!$C$21,I64+参数配置!$C$7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16" t="n"/>
      <c r="B65" s="15" t="n"/>
      <c r="C65" s="7">
        <f>IFERROR(参数配置!$C$7*B65,"")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IFERROR(IF(F65&gt;=参数配置!$C$18,0,IF(F65&lt;=参数配置!$C$21,MAX(0,MIN(C65-H65,参数配置!$C$7*参数配置!$C$13)),MAX(0,MIN(C65-H65,参数配置!$C$7*参数配置!$C$12)))),"")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$7*参数配置!$D$23,IF(F65&lt;=参数配置!$C$22,I65+参数配置!$C$7*参数配置!$D$22,IF(F65&lt;=参数配置!$C$21,I65+参数配置!$C$7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16" t="n"/>
      <c r="B66" s="15" t="n"/>
      <c r="C66" s="7">
        <f>IFERROR(参数配置!$C$7*B66,"")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IFERROR(IF(F66&gt;=参数配置!$C$18,0,IF(F66&lt;=参数配置!$C$21,MAX(0,MIN(C66-H66,参数配置!$C$7*参数配置!$C$13)),MAX(0,MIN(C66-H66,参数配置!$C$7*参数配置!$C$12)))),"")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$7*参数配置!$D$23,IF(F66&lt;=参数配置!$C$22,I66+参数配置!$C$7*参数配置!$D$22,IF(F66&lt;=参数配置!$C$21,I66+参数配置!$C$7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16" t="n"/>
      <c r="B67" s="15" t="n"/>
      <c r="C67" s="7">
        <f>IFERROR(参数配置!$C$7*B67,"")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IFERROR(IF(F67&gt;=参数配置!$C$18,0,IF(F67&lt;=参数配置!$C$21,MAX(0,MIN(C67-H67,参数配置!$C$7*参数配置!$C$13)),MAX(0,MIN(C67-H67,参数配置!$C$7*参数配置!$C$12)))),"")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$7*参数配置!$D$23,IF(F67&lt;=参数配置!$C$22,I67+参数配置!$C$7*参数配置!$D$22,IF(F67&lt;=参数配置!$C$21,I67+参数配置!$C$7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16" t="n"/>
      <c r="B68" s="15" t="n"/>
      <c r="C68" s="7">
        <f>IFERROR(参数配置!$C$7*B68,"")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IFERROR(IF(F68&gt;=参数配置!$C$18,0,IF(F68&lt;=参数配置!$C$21,MAX(0,MIN(C68-H68,参数配置!$C$7*参数配置!$C$13)),MAX(0,MIN(C68-H68,参数配置!$C$7*参数配置!$C$12)))),"")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$7*参数配置!$D$23,IF(F68&lt;=参数配置!$C$22,I68+参数配置!$C$7*参数配置!$D$22,IF(F68&lt;=参数配置!$C$21,I68+参数配置!$C$7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16" t="n"/>
      <c r="B69" s="15" t="n"/>
      <c r="C69" s="7">
        <f>IFERROR(参数配置!$C$7*B69,"")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IFERROR(IF(F69&gt;=参数配置!$C$18,0,IF(F69&lt;=参数配置!$C$21,MAX(0,MIN(C69-H69,参数配置!$C$7*参数配置!$C$13)),MAX(0,MIN(C69-H69,参数配置!$C$7*参数配置!$C$12)))),"")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$7*参数配置!$D$23,IF(F69&lt;=参数配置!$C$22,I69+参数配置!$C$7*参数配置!$D$22,IF(F69&lt;=参数配置!$C$21,I69+参数配置!$C$7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16" t="n"/>
      <c r="B70" s="15" t="n"/>
      <c r="C70" s="7">
        <f>IFERROR(参数配置!$C$7*B70,"")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IFERROR(IF(F70&gt;=参数配置!$C$18,0,IF(F70&lt;=参数配置!$C$21,MAX(0,MIN(C70-H70,参数配置!$C$7*参数配置!$C$13)),MAX(0,MIN(C70-H70,参数配置!$C$7*参数配置!$C$12)))),"")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$7*参数配置!$D$23,IF(F70&lt;=参数配置!$C$22,I70+参数配置!$C$7*参数配置!$D$22,IF(F70&lt;=参数配置!$C$21,I70+参数配置!$C$7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16" t="n"/>
      <c r="B71" s="15" t="n"/>
      <c r="C71" s="7">
        <f>IFERROR(参数配置!$C$7*B71,"")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IFERROR(IF(F71&gt;=参数配置!$C$18,0,IF(F71&lt;=参数配置!$C$21,MAX(0,MIN(C71-H71,参数配置!$C$7*参数配置!$C$13)),MAX(0,MIN(C71-H71,参数配置!$C$7*参数配置!$C$12)))),"")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$7*参数配置!$D$23,IF(F71&lt;=参数配置!$C$22,I71+参数配置!$C$7*参数配置!$D$22,IF(F71&lt;=参数配置!$C$21,I71+参数配置!$C$7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16" t="n"/>
      <c r="B72" s="15" t="n"/>
      <c r="C72" s="7">
        <f>IFERROR(参数配置!$C$7*B72,"")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IFERROR(IF(F72&gt;=参数配置!$C$18,0,IF(F72&lt;=参数配置!$C$21,MAX(0,MIN(C72-H72,参数配置!$C$7*参数配置!$C$13)),MAX(0,MIN(C72-H72,参数配置!$C$7*参数配置!$C$12)))),"")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$7*参数配置!$D$23,IF(F72&lt;=参数配置!$C$22,I72+参数配置!$C$7*参数配置!$D$22,IF(F72&lt;=参数配置!$C$21,I72+参数配置!$C$7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16" t="n"/>
      <c r="B73" s="15" t="n"/>
      <c r="C73" s="7">
        <f>IFERROR(参数配置!$C$7*B73,"")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IFERROR(IF(F73&gt;=参数配置!$C$18,0,IF(F73&lt;=参数配置!$C$21,MAX(0,MIN(C73-H73,参数配置!$C$7*参数配置!$C$13)),MAX(0,MIN(C73-H73,参数配置!$C$7*参数配置!$C$12)))),"")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$7*参数配置!$D$23,IF(F73&lt;=参数配置!$C$22,I73+参数配置!$C$7*参数配置!$D$22,IF(F73&lt;=参数配置!$C$21,I73+参数配置!$C$7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16" t="n"/>
      <c r="B74" s="15" t="n"/>
      <c r="C74" s="7">
        <f>IFERROR(参数配置!$C$7*B74,"")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IFERROR(IF(F74&gt;=参数配置!$C$18,0,IF(F74&lt;=参数配置!$C$21,MAX(0,MIN(C74-H74,参数配置!$C$7*参数配置!$C$13)),MAX(0,MIN(C74-H74,参数配置!$C$7*参数配置!$C$12)))),"")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$7*参数配置!$D$23,IF(F74&lt;=参数配置!$C$22,I74+参数配置!$C$7*参数配置!$D$22,IF(F74&lt;=参数配置!$C$21,I74+参数配置!$C$7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16" t="n"/>
      <c r="B75" s="15" t="n"/>
      <c r="C75" s="7">
        <f>IFERROR(参数配置!$C$7*B75,"")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IFERROR(IF(F75&gt;=参数配置!$C$18,0,IF(F75&lt;=参数配置!$C$21,MAX(0,MIN(C75-H75,参数配置!$C$7*参数配置!$C$13)),MAX(0,MIN(C75-H75,参数配置!$C$7*参数配置!$C$12)))),"")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$7*参数配置!$D$23,IF(F75&lt;=参数配置!$C$22,I75+参数配置!$C$7*参数配置!$D$22,IF(F75&lt;=参数配置!$C$21,I75+参数配置!$C$7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16" t="n"/>
      <c r="B76" s="15" t="n"/>
      <c r="C76" s="7">
        <f>IFERROR(参数配置!$C$7*B76,"")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IFERROR(IF(F76&gt;=参数配置!$C$18,0,IF(F76&lt;=参数配置!$C$21,MAX(0,MIN(C76-H76,参数配置!$C$7*参数配置!$C$13)),MAX(0,MIN(C76-H76,参数配置!$C$7*参数配置!$C$12)))),"")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$7*参数配置!$D$23,IF(F76&lt;=参数配置!$C$22,I76+参数配置!$C$7*参数配置!$D$22,IF(F76&lt;=参数配置!$C$21,I76+参数配置!$C$7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16" t="n"/>
      <c r="B77" s="15" t="n"/>
      <c r="C77" s="7">
        <f>IFERROR(参数配置!$C$7*B77,"")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IFERROR(IF(F77&gt;=参数配置!$C$18,0,IF(F77&lt;=参数配置!$C$21,MAX(0,MIN(C77-H77,参数配置!$C$7*参数配置!$C$13)),MAX(0,MIN(C77-H77,参数配置!$C$7*参数配置!$C$12)))),"")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$7*参数配置!$D$23,IF(F77&lt;=参数配置!$C$22,I77+参数配置!$C$7*参数配置!$D$22,IF(F77&lt;=参数配置!$C$21,I77+参数配置!$C$7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16" t="n"/>
      <c r="B78" s="15" t="n"/>
      <c r="C78" s="7">
        <f>IFERROR(参数配置!$C$7*B78,"")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IFERROR(IF(F78&gt;=参数配置!$C$18,0,IF(F78&lt;=参数配置!$C$21,MAX(0,MIN(C78-H78,参数配置!$C$7*参数配置!$C$13)),MAX(0,MIN(C78-H78,参数配置!$C$7*参数配置!$C$12)))),"")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$7*参数配置!$D$23,IF(F78&lt;=参数配置!$C$22,I78+参数配置!$C$7*参数配置!$D$22,IF(F78&lt;=参数配置!$C$21,I78+参数配置!$C$7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16" t="n"/>
      <c r="B79" s="15" t="n"/>
      <c r="C79" s="7">
        <f>IFERROR(参数配置!$C$7*B79,"")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IFERROR(IF(F79&gt;=参数配置!$C$18,0,IF(F79&lt;=参数配置!$C$21,MAX(0,MIN(C79-H79,参数配置!$C$7*参数配置!$C$13)),MAX(0,MIN(C79-H79,参数配置!$C$7*参数配置!$C$12)))),"")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$7*参数配置!$D$23,IF(F79&lt;=参数配置!$C$22,I79+参数配置!$C$7*参数配置!$D$22,IF(F79&lt;=参数配置!$C$21,I79+参数配置!$C$7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16" t="n"/>
      <c r="B80" s="15" t="n"/>
      <c r="C80" s="7">
        <f>IFERROR(参数配置!$C$7*B80,"")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IFERROR(IF(F80&gt;=参数配置!$C$18,0,IF(F80&lt;=参数配置!$C$21,MAX(0,MIN(C80-H80,参数配置!$C$7*参数配置!$C$13)),MAX(0,MIN(C80-H80,参数配置!$C$7*参数配置!$C$12)))),"")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$7*参数配置!$D$23,IF(F80&lt;=参数配置!$C$22,I80+参数配置!$C$7*参数配置!$D$22,IF(F80&lt;=参数配置!$C$21,I80+参数配置!$C$7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16" t="n"/>
      <c r="B81" s="15" t="n"/>
      <c r="C81" s="7">
        <f>IFERROR(参数配置!$C$7*B81,"")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IFERROR(IF(F81&gt;=参数配置!$C$18,0,IF(F81&lt;=参数配置!$C$21,MAX(0,MIN(C81-H81,参数配置!$C$7*参数配置!$C$13)),MAX(0,MIN(C81-H81,参数配置!$C$7*参数配置!$C$12)))),"")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$7*参数配置!$D$23,IF(F81&lt;=参数配置!$C$22,I81+参数配置!$C$7*参数配置!$D$22,IF(F81&lt;=参数配置!$C$21,I81+参数配置!$C$7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16" t="n"/>
      <c r="B82" s="15" t="n"/>
      <c r="C82" s="7">
        <f>IFERROR(参数配置!$C$7*B82,"")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IFERROR(IF(F82&gt;=参数配置!$C$18,0,IF(F82&lt;=参数配置!$C$21,MAX(0,MIN(C82-H82,参数配置!$C$7*参数配置!$C$13)),MAX(0,MIN(C82-H82,参数配置!$C$7*参数配置!$C$12)))),"")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$7*参数配置!$D$23,IF(F82&lt;=参数配置!$C$22,I82+参数配置!$C$7*参数配置!$D$22,IF(F82&lt;=参数配置!$C$21,I82+参数配置!$C$7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16" t="n"/>
      <c r="B83" s="15" t="n"/>
      <c r="C83" s="7">
        <f>IFERROR(参数配置!$C$7*B83,"")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IFERROR(IF(F83&gt;=参数配置!$C$18,0,IF(F83&lt;=参数配置!$C$21,MAX(0,MIN(C83-H83,参数配置!$C$7*参数配置!$C$13)),MAX(0,MIN(C83-H83,参数配置!$C$7*参数配置!$C$12)))),"")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$7*参数配置!$D$23,IF(F83&lt;=参数配置!$C$22,I83+参数配置!$C$7*参数配置!$D$22,IF(F83&lt;=参数配置!$C$21,I83+参数配置!$C$7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16" t="n"/>
      <c r="B84" s="15" t="n"/>
      <c r="C84" s="7">
        <f>IFERROR(参数配置!$C$7*B84,"")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IFERROR(IF(F84&gt;=参数配置!$C$18,0,IF(F84&lt;=参数配置!$C$21,MAX(0,MIN(C84-H84,参数配置!$C$7*参数配置!$C$13)),MAX(0,MIN(C84-H84,参数配置!$C$7*参数配置!$C$12)))),"")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$7*参数配置!$D$23,IF(F84&lt;=参数配置!$C$22,I84+参数配置!$C$7*参数配置!$D$22,IF(F84&lt;=参数配置!$C$21,I84+参数配置!$C$7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16" t="n"/>
      <c r="B85" s="15" t="n"/>
      <c r="C85" s="7">
        <f>IFERROR(参数配置!$C$7*B85,"")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IFERROR(IF(F85&gt;=参数配置!$C$18,0,IF(F85&lt;=参数配置!$C$21,MAX(0,MIN(C85-H85,参数配置!$C$7*参数配置!$C$13)),MAX(0,MIN(C85-H85,参数配置!$C$7*参数配置!$C$12)))),"")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$7*参数配置!$D$23,IF(F85&lt;=参数配置!$C$22,I85+参数配置!$C$7*参数配置!$D$22,IF(F85&lt;=参数配置!$C$21,I85+参数配置!$C$7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16" t="n"/>
      <c r="B86" s="15" t="n"/>
      <c r="C86" s="7">
        <f>IFERROR(参数配置!$C$7*B86,"")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IFERROR(IF(F86&gt;=参数配置!$C$18,0,IF(F86&lt;=参数配置!$C$21,MAX(0,MIN(C86-H86,参数配置!$C$7*参数配置!$C$13)),MAX(0,MIN(C86-H86,参数配置!$C$7*参数配置!$C$12)))),"")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$7*参数配置!$D$23,IF(F86&lt;=参数配置!$C$22,I86+参数配置!$C$7*参数配置!$D$22,IF(F86&lt;=参数配置!$C$21,I86+参数配置!$C$7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16" t="n"/>
      <c r="B87" s="15" t="n"/>
      <c r="C87" s="7">
        <f>IFERROR(参数配置!$C$7*B87,"")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IFERROR(IF(F87&gt;=参数配置!$C$18,0,IF(F87&lt;=参数配置!$C$21,MAX(0,MIN(C87-H87,参数配置!$C$7*参数配置!$C$13)),MAX(0,MIN(C87-H87,参数配置!$C$7*参数配置!$C$12)))),"")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$7*参数配置!$D$23,IF(F87&lt;=参数配置!$C$22,I87+参数配置!$C$7*参数配置!$D$22,IF(F87&lt;=参数配置!$C$21,I87+参数配置!$C$7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16" t="n"/>
      <c r="B88" s="15" t="n"/>
      <c r="C88" s="7">
        <f>IFERROR(参数配置!$C$7*B88,"")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IFERROR(IF(F88&gt;=参数配置!$C$18,0,IF(F88&lt;=参数配置!$C$21,MAX(0,MIN(C88-H88,参数配置!$C$7*参数配置!$C$13)),MAX(0,MIN(C88-H88,参数配置!$C$7*参数配置!$C$12)))),"")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$7*参数配置!$D$23,IF(F88&lt;=参数配置!$C$22,I88+参数配置!$C$7*参数配置!$D$22,IF(F88&lt;=参数配置!$C$21,I88+参数配置!$C$7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16" t="n"/>
      <c r="B89" s="15" t="n"/>
      <c r="C89" s="7">
        <f>IFERROR(参数配置!$C$7*B89,"")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IFERROR(IF(F89&gt;=参数配置!$C$18,0,IF(F89&lt;=参数配置!$C$21,MAX(0,MIN(C89-H89,参数配置!$C$7*参数配置!$C$13)),MAX(0,MIN(C89-H89,参数配置!$C$7*参数配置!$C$12)))),"")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$7*参数配置!$D$23,IF(F89&lt;=参数配置!$C$22,I89+参数配置!$C$7*参数配置!$D$22,IF(F89&lt;=参数配置!$C$21,I89+参数配置!$C$7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16" t="n"/>
      <c r="B90" s="15" t="n"/>
      <c r="C90" s="7">
        <f>IFERROR(参数配置!$C$7*B90,"")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IFERROR(IF(F90&gt;=参数配置!$C$18,0,IF(F90&lt;=参数配置!$C$21,MAX(0,MIN(C90-H90,参数配置!$C$7*参数配置!$C$13)),MAX(0,MIN(C90-H90,参数配置!$C$7*参数配置!$C$12)))),"")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$7*参数配置!$D$23,IF(F90&lt;=参数配置!$C$22,I90+参数配置!$C$7*参数配置!$D$22,IF(F90&lt;=参数配置!$C$21,I90+参数配置!$C$7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16" t="n"/>
      <c r="B91" s="15" t="n"/>
      <c r="C91" s="7">
        <f>IFERROR(参数配置!$C$7*B91,"")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IFERROR(IF(F91&gt;=参数配置!$C$18,0,IF(F91&lt;=参数配置!$C$21,MAX(0,MIN(C91-H91,参数配置!$C$7*参数配置!$C$13)),MAX(0,MIN(C91-H91,参数配置!$C$7*参数配置!$C$12)))),"")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$7*参数配置!$D$23,IF(F91&lt;=参数配置!$C$22,I91+参数配置!$C$7*参数配置!$D$22,IF(F91&lt;=参数配置!$C$21,I91+参数配置!$C$7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16" t="n"/>
      <c r="B92" s="15" t="n"/>
      <c r="C92" s="7">
        <f>IFERROR(参数配置!$C$7*B92,"")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IFERROR(IF(F92&gt;=参数配置!$C$18,0,IF(F92&lt;=参数配置!$C$21,MAX(0,MIN(C92-H92,参数配置!$C$7*参数配置!$C$13)),MAX(0,MIN(C92-H92,参数配置!$C$7*参数配置!$C$12)))),"")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$7*参数配置!$D$23,IF(F92&lt;=参数配置!$C$22,I92+参数配置!$C$7*参数配置!$D$22,IF(F92&lt;=参数配置!$C$21,I92+参数配置!$C$7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16" t="n"/>
      <c r="B93" s="15" t="n"/>
      <c r="C93" s="7">
        <f>IFERROR(参数配置!$C$7*B93,"")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IFERROR(IF(F93&gt;=参数配置!$C$18,0,IF(F93&lt;=参数配置!$C$21,MAX(0,MIN(C93-H93,参数配置!$C$7*参数配置!$C$13)),MAX(0,MIN(C93-H93,参数配置!$C$7*参数配置!$C$12)))),"")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$7*参数配置!$D$23,IF(F93&lt;=参数配置!$C$22,I93+参数配置!$C$7*参数配置!$D$22,IF(F93&lt;=参数配置!$C$21,I93+参数配置!$C$7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16" t="n"/>
      <c r="B94" s="15" t="n"/>
      <c r="C94" s="7">
        <f>IFERROR(参数配置!$C$7*B94,"")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IFERROR(IF(F94&gt;=参数配置!$C$18,0,IF(F94&lt;=参数配置!$C$21,MAX(0,MIN(C94-H94,参数配置!$C$7*参数配置!$C$13)),MAX(0,MIN(C94-H94,参数配置!$C$7*参数配置!$C$12)))),"")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$7*参数配置!$D$23,IF(F94&lt;=参数配置!$C$22,I94+参数配置!$C$7*参数配置!$D$22,IF(F94&lt;=参数配置!$C$21,I94+参数配置!$C$7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16" t="n"/>
      <c r="B95" s="15" t="n"/>
      <c r="C95" s="7">
        <f>IFERROR(参数配置!$C$7*B95,"")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IFERROR(IF(F95&gt;=参数配置!$C$18,0,IF(F95&lt;=参数配置!$C$21,MAX(0,MIN(C95-H95,参数配置!$C$7*参数配置!$C$13)),MAX(0,MIN(C95-H95,参数配置!$C$7*参数配置!$C$12)))),"")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$7*参数配置!$D$23,IF(F95&lt;=参数配置!$C$22,I95+参数配置!$C$7*参数配置!$D$22,IF(F95&lt;=参数配置!$C$21,I95+参数配置!$C$7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16" t="n"/>
      <c r="B96" s="15" t="n"/>
      <c r="C96" s="7">
        <f>IFERROR(参数配置!$C$7*B96,"")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IFERROR(IF(F96&gt;=参数配置!$C$18,0,IF(F96&lt;=参数配置!$C$21,MAX(0,MIN(C96-H96,参数配置!$C$7*参数配置!$C$13)),MAX(0,MIN(C96-H96,参数配置!$C$7*参数配置!$C$12)))),"")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$7*参数配置!$D$23,IF(F96&lt;=参数配置!$C$22,I96+参数配置!$C$7*参数配置!$D$22,IF(F96&lt;=参数配置!$C$21,I96+参数配置!$C$7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16" t="n"/>
      <c r="B97" s="15" t="n"/>
      <c r="C97" s="7">
        <f>IFERROR(参数配置!$C$7*B97,"")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IFERROR(IF(F97&gt;=参数配置!$C$18,0,IF(F97&lt;=参数配置!$C$21,MAX(0,MIN(C97-H97,参数配置!$C$7*参数配置!$C$13)),MAX(0,MIN(C97-H97,参数配置!$C$7*参数配置!$C$12)))),"")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$7*参数配置!$D$23,IF(F97&lt;=参数配置!$C$22,I97+参数配置!$C$7*参数配置!$D$22,IF(F97&lt;=参数配置!$C$21,I97+参数配置!$C$7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16" t="n"/>
      <c r="B98" s="15" t="n"/>
      <c r="C98" s="7">
        <f>IFERROR(参数配置!$C$7*B98,"")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IFERROR(IF(F98&gt;=参数配置!$C$18,0,IF(F98&lt;=参数配置!$C$21,MAX(0,MIN(C98-H98,参数配置!$C$7*参数配置!$C$13)),MAX(0,MIN(C98-H98,参数配置!$C$7*参数配置!$C$12)))),"")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$7*参数配置!$D$23,IF(F98&lt;=参数配置!$C$22,I98+参数配置!$C$7*参数配置!$D$22,IF(F98&lt;=参数配置!$C$21,I98+参数配置!$C$7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16" t="n"/>
      <c r="B99" s="15" t="n"/>
      <c r="C99" s="7">
        <f>IFERROR(参数配置!$C$7*B99,"")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IFERROR(IF(F99&gt;=参数配置!$C$18,0,IF(F99&lt;=参数配置!$C$21,MAX(0,MIN(C99-H99,参数配置!$C$7*参数配置!$C$13)),MAX(0,MIN(C99-H99,参数配置!$C$7*参数配置!$C$12)))),"")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$7*参数配置!$D$23,IF(F99&lt;=参数配置!$C$22,I99+参数配置!$C$7*参数配置!$D$22,IF(F99&lt;=参数配置!$C$21,I99+参数配置!$C$7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16" t="n"/>
      <c r="B100" s="15" t="n"/>
      <c r="C100" s="7">
        <f>IFERROR(参数配置!$C$7*B100,"")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IFERROR(IF(F100&gt;=参数配置!$C$18,0,IF(F100&lt;=参数配置!$C$21,MAX(0,MIN(C100-H100,参数配置!$C$7*参数配置!$C$13)),MAX(0,MIN(C100-H100,参数配置!$C$7*参数配置!$C$12)))),"")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$7*参数配置!$D$23,IF(F100&lt;=参数配置!$C$22,I100+参数配置!$C$7*参数配置!$D$22,IF(F100&lt;=参数配置!$C$21,I100+参数配置!$C$7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16" t="n"/>
      <c r="B101" s="15" t="n"/>
      <c r="C101" s="7">
        <f>IFERROR(参数配置!$C$7*B101,"")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IFERROR(IF(F101&gt;=参数配置!$C$18,0,IF(F101&lt;=参数配置!$C$21,MAX(0,MIN(C101-H101,参数配置!$C$7*参数配置!$C$13)),MAX(0,MIN(C101-H101,参数配置!$C$7*参数配置!$C$12)))),"")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$7*参数配置!$D$23,IF(F101&lt;=参数配置!$C$22,I101+参数配置!$C$7*参数配置!$D$22,IF(F101&lt;=参数配置!$C$21,I101+参数配置!$C$7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16" t="n"/>
      <c r="B102" s="15" t="n"/>
      <c r="C102" s="7">
        <f>IFERROR(参数配置!$C$7*B102,"")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IFERROR(IF(F102&gt;=参数配置!$C$18,0,IF(F102&lt;=参数配置!$C$21,MAX(0,MIN(C102-H102,参数配置!$C$7*参数配置!$C$13)),MAX(0,MIN(C102-H102,参数配置!$C$7*参数配置!$C$12)))),"")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$7*参数配置!$D$23,IF(F102&lt;=参数配置!$C$22,I102+参数配置!$C$7*参数配置!$D$22,IF(F102&lt;=参数配置!$C$21,I102+参数配置!$C$7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16" t="n"/>
      <c r="B103" s="15" t="n"/>
      <c r="C103" s="7">
        <f>IFERROR(参数配置!$C$7*B103,"")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IFERROR(IF(F103&gt;=参数配置!$C$18,0,IF(F103&lt;=参数配置!$C$21,MAX(0,MIN(C103-H103,参数配置!$C$7*参数配置!$C$13)),MAX(0,MIN(C103-H103,参数配置!$C$7*参数配置!$C$12)))),"")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$7*参数配置!$D$23,IF(F103&lt;=参数配置!$C$22,I103+参数配置!$C$7*参数配置!$D$22,IF(F103&lt;=参数配置!$C$21,I103+参数配置!$C$7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16" t="n"/>
      <c r="B104" s="15" t="n"/>
      <c r="C104" s="7">
        <f>IFERROR(参数配置!$C$7*B104,"")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IFERROR(IF(F104&gt;=参数配置!$C$18,0,IF(F104&lt;=参数配置!$C$21,MAX(0,MIN(C104-H104,参数配置!$C$7*参数配置!$C$13)),MAX(0,MIN(C104-H104,参数配置!$C$7*参数配置!$C$12)))),"")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$7*参数配置!$D$23,IF(F104&lt;=参数配置!$C$22,I104+参数配置!$C$7*参数配置!$D$22,IF(F104&lt;=参数配置!$C$21,I104+参数配置!$C$7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3" t="inlineStr">
        <is>
          <t>手动填写</t>
        </is>
      </c>
      <c r="B3" s="24" t="inlineStr">
        <is>
          <t>自动计算</t>
        </is>
      </c>
      <c r="C3" s="25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理论应投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16" t="n"/>
      <c r="B5" s="15" t="n"/>
      <c r="C5" s="7">
        <f>IFERROR(参数配置!$C$8*B5,"")</f>
        <v/>
      </c>
      <c r="D5" s="26" t="n"/>
      <c r="E5" s="26" t="n"/>
      <c r="F5" s="27">
        <f>IFERROR((D5-E5)/E5,"")</f>
        <v/>
      </c>
      <c r="G5" s="26" t="n"/>
      <c r="H5" s="7">
        <f>IFERROR(G5*D5,"")</f>
        <v/>
      </c>
      <c r="I5" s="7">
        <f>IFERROR(IF(F5&gt;=参数配置!$C$18,0,IF(F5&lt;=参数配置!$C$21,MAX(0,MIN(C5-H5,参数配置!$C$8*参数配置!$C$13)),MAX(0,MIN(C5-H5,参数配置!$C$8*参数配置!$C$12)))),"")</f>
        <v/>
      </c>
      <c r="J5" s="28">
        <f>IFERROR(IF(F5&gt;=参数配置!$C$18,"极端清仓",IF(F5&gt;=参数配置!$C$17,"三档收割",IF(F5&gt;=参数配置!$C$16,"二档收割",IF(F5&gt;=参数配置!$C$15,"一档收割",IF(F5&lt;=参数配置!$C$23,"三档加码",IF(F5&lt;=参数配置!$C$22,"二档加码",IF(F5&lt;=参数配置!$C$21,"一档加码","正常定投"))))))),"")</f>
        <v/>
      </c>
      <c r="K5" s="29">
        <f>IFERROR(IF(F5&gt;=参数配置!$C$18,-(H5),IF(F5&gt;=参数配置!$C$17,-((H5-C5)*参数配置!$D$17),IF(F5&gt;=参数配置!$C$16,-((H5-C5)*参数配置!$D$16),IF(F5&gt;=参数配置!$C$15,-((H5-C5)*参数配置!$D$15),IF(F5&lt;=参数配置!$C$23,I5+参数配置!$C$8*参数配置!$D$23,IF(F5&lt;=参数配置!$C$22,I5+参数配置!$C$8*参数配置!$D$22,IF(F5&lt;=参数配置!$C$21,I5+参数配置!$C$8*参数配置!$D$21,I5))))))),"")</f>
        <v/>
      </c>
      <c r="L5" s="17" t="n"/>
      <c r="M5" s="26" t="n"/>
      <c r="N5" s="30">
        <f>IFERROR(G5+M5,"")</f>
        <v/>
      </c>
      <c r="O5" s="7">
        <f>IFERROR(L5,"")</f>
        <v/>
      </c>
      <c r="P5" s="7">
        <f>IFERROR(-L5,"")</f>
        <v/>
      </c>
      <c r="Q5" s="31" t="n"/>
    </row>
    <row r="6">
      <c r="A6" s="16" t="n"/>
      <c r="B6" s="15" t="n"/>
      <c r="C6" s="7">
        <f>IFERROR(参数配置!$C$8*B6,"")</f>
        <v/>
      </c>
      <c r="D6" s="26" t="n"/>
      <c r="E6" s="26" t="n"/>
      <c r="F6" s="27">
        <f>IFERROR((D6-E6)/E6,"")</f>
        <v/>
      </c>
      <c r="G6" s="26" t="n"/>
      <c r="H6" s="7">
        <f>IFERROR(G6*D6,"")</f>
        <v/>
      </c>
      <c r="I6" s="7">
        <f>IFERROR(IF(F6&gt;=参数配置!$C$18,0,IF(F6&lt;=参数配置!$C$21,MAX(0,MIN(C6-H6,参数配置!$C$8*参数配置!$C$13)),MAX(0,MIN(C6-H6,参数配置!$C$8*参数配置!$C$12)))),"")</f>
        <v/>
      </c>
      <c r="J6" s="28">
        <f>IFERROR(IF(F6&gt;=参数配置!$C$18,"极端清仓",IF(F6&gt;=参数配置!$C$17,"三档收割",IF(F6&gt;=参数配置!$C$16,"二档收割",IF(F6&gt;=参数配置!$C$15,"一档收割",IF(F6&lt;=参数配置!$C$23,"三档加码",IF(F6&lt;=参数配置!$C$22,"二档加码",IF(F6&lt;=参数配置!$C$21,"一档加码","正常定投"))))))),"")</f>
        <v/>
      </c>
      <c r="K6" s="29">
        <f>IFERROR(IF(F6&gt;=参数配置!$C$18,-(H6),IF(F6&gt;=参数配置!$C$17,-((H6-C6)*参数配置!$D$17),IF(F6&gt;=参数配置!$C$16,-((H6-C6)*参数配置!$D$16),IF(F6&gt;=参数配置!$C$15,-((H6-C6)*参数配置!$D$15),IF(F6&lt;=参数配置!$C$23,I6+参数配置!$C$8*参数配置!$D$23,IF(F6&lt;=参数配置!$C$22,I6+参数配置!$C$8*参数配置!$D$22,IF(F6&lt;=参数配置!$C$21,I6+参数配置!$C$8*参数配置!$D$21,I6))))))),"")</f>
        <v/>
      </c>
      <c r="L6" s="17" t="n"/>
      <c r="M6" s="26" t="n"/>
      <c r="N6" s="30">
        <f>IFERROR(G6+M6,"")</f>
        <v/>
      </c>
      <c r="O6" s="7">
        <f>IFERROR(O5+L6,"")</f>
        <v/>
      </c>
      <c r="P6" s="7">
        <f>IFERROR(-L6,"")</f>
        <v/>
      </c>
      <c r="Q6" s="31" t="n"/>
    </row>
    <row r="7">
      <c r="A7" s="16" t="n"/>
      <c r="B7" s="15" t="n"/>
      <c r="C7" s="7">
        <f>IFERROR(参数配置!$C$8*B7,"")</f>
        <v/>
      </c>
      <c r="D7" s="26" t="n"/>
      <c r="E7" s="26" t="n"/>
      <c r="F7" s="27">
        <f>IFERROR((D7-E7)/E7,"")</f>
        <v/>
      </c>
      <c r="G7" s="26" t="n"/>
      <c r="H7" s="7">
        <f>IFERROR(G7*D7,"")</f>
        <v/>
      </c>
      <c r="I7" s="7">
        <f>IFERROR(IF(F7&gt;=参数配置!$C$18,0,IF(F7&lt;=参数配置!$C$21,MAX(0,MIN(C7-H7,参数配置!$C$8*参数配置!$C$13)),MAX(0,MIN(C7-H7,参数配置!$C$8*参数配置!$C$12)))),"")</f>
        <v/>
      </c>
      <c r="J7" s="28">
        <f>IFERROR(IF(F7&gt;=参数配置!$C$18,"极端清仓",IF(F7&gt;=参数配置!$C$17,"三档收割",IF(F7&gt;=参数配置!$C$16,"二档收割",IF(F7&gt;=参数配置!$C$15,"一档收割",IF(F7&lt;=参数配置!$C$23,"三档加码",IF(F7&lt;=参数配置!$C$22,"二档加码",IF(F7&lt;=参数配置!$C$21,"一档加码","正常定投"))))))),"")</f>
        <v/>
      </c>
      <c r="K7" s="29">
        <f>IFERROR(IF(F7&gt;=参数配置!$C$18,-(H7),IF(F7&gt;=参数配置!$C$17,-((H7-C7)*参数配置!$D$17),IF(F7&gt;=参数配置!$C$16,-((H7-C7)*参数配置!$D$16),IF(F7&gt;=参数配置!$C$15,-((H7-C7)*参数配置!$D$15),IF(F7&lt;=参数配置!$C$23,I7+参数配置!$C$8*参数配置!$D$23,IF(F7&lt;=参数配置!$C$22,I7+参数配置!$C$8*参数配置!$D$22,IF(F7&lt;=参数配置!$C$21,I7+参数配置!$C$8*参数配置!$D$21,I7))))))),"")</f>
        <v/>
      </c>
      <c r="L7" s="17" t="n"/>
      <c r="M7" s="26" t="n"/>
      <c r="N7" s="30">
        <f>IFERROR(G7+M7,"")</f>
        <v/>
      </c>
      <c r="O7" s="7">
        <f>IFERROR(O6+L7,"")</f>
        <v/>
      </c>
      <c r="P7" s="7">
        <f>IFERROR(-L7,"")</f>
        <v/>
      </c>
      <c r="Q7" s="31" t="n"/>
    </row>
    <row r="8">
      <c r="A8" s="16" t="n"/>
      <c r="B8" s="15" t="n"/>
      <c r="C8" s="7">
        <f>IFERROR(参数配置!$C$8*B8,"")</f>
        <v/>
      </c>
      <c r="D8" s="26" t="n"/>
      <c r="E8" s="26" t="n"/>
      <c r="F8" s="27">
        <f>IFERROR((D8-E8)/E8,"")</f>
        <v/>
      </c>
      <c r="G8" s="26" t="n"/>
      <c r="H8" s="7">
        <f>IFERROR(G8*D8,"")</f>
        <v/>
      </c>
      <c r="I8" s="7">
        <f>IFERROR(IF(F8&gt;=参数配置!$C$18,0,IF(F8&lt;=参数配置!$C$21,MAX(0,MIN(C8-H8,参数配置!$C$8*参数配置!$C$13)),MAX(0,MIN(C8-H8,参数配置!$C$8*参数配置!$C$12)))),"")</f>
        <v/>
      </c>
      <c r="J8" s="28">
        <f>IFERROR(IF(F8&gt;=参数配置!$C$18,"极端清仓",IF(F8&gt;=参数配置!$C$17,"三档收割",IF(F8&gt;=参数配置!$C$16,"二档收割",IF(F8&gt;=参数配置!$C$15,"一档收割",IF(F8&lt;=参数配置!$C$23,"三档加码",IF(F8&lt;=参数配置!$C$22,"二档加码",IF(F8&lt;=参数配置!$C$21,"一档加码","正常定投"))))))),"")</f>
        <v/>
      </c>
      <c r="K8" s="29">
        <f>IFERROR(IF(F8&gt;=参数配置!$C$18,-(H8),IF(F8&gt;=参数配置!$C$17,-((H8-C8)*参数配置!$D$17),IF(F8&gt;=参数配置!$C$16,-((H8-C8)*参数配置!$D$16),IF(F8&gt;=参数配置!$C$15,-((H8-C8)*参数配置!$D$15),IF(F8&lt;=参数配置!$C$23,I8+参数配置!$C$8*参数配置!$D$23,IF(F8&lt;=参数配置!$C$22,I8+参数配置!$C$8*参数配置!$D$22,IF(F8&lt;=参数配置!$C$21,I8+参数配置!$C$8*参数配置!$D$21,I8))))))),"")</f>
        <v/>
      </c>
      <c r="L8" s="17" t="n"/>
      <c r="M8" s="26" t="n"/>
      <c r="N8" s="30">
        <f>IFERROR(G8+M8,"")</f>
        <v/>
      </c>
      <c r="O8" s="7">
        <f>IFERROR(O7+L8,"")</f>
        <v/>
      </c>
      <c r="P8" s="7">
        <f>IFERROR(-L8,"")</f>
        <v/>
      </c>
      <c r="Q8" s="31" t="n"/>
    </row>
    <row r="9">
      <c r="A9" s="16" t="n"/>
      <c r="B9" s="15" t="n"/>
      <c r="C9" s="7">
        <f>IFERROR(参数配置!$C$8*B9,"")</f>
        <v/>
      </c>
      <c r="D9" s="26" t="n"/>
      <c r="E9" s="26" t="n"/>
      <c r="F9" s="27">
        <f>IFERROR((D9-E9)/E9,"")</f>
        <v/>
      </c>
      <c r="G9" s="26" t="n"/>
      <c r="H9" s="7">
        <f>IFERROR(G9*D9,"")</f>
        <v/>
      </c>
      <c r="I9" s="7">
        <f>IFERROR(IF(F9&gt;=参数配置!$C$18,0,IF(F9&lt;=参数配置!$C$21,MAX(0,MIN(C9-H9,参数配置!$C$8*参数配置!$C$13)),MAX(0,MIN(C9-H9,参数配置!$C$8*参数配置!$C$12)))),"")</f>
        <v/>
      </c>
      <c r="J9" s="28">
        <f>IFERROR(IF(F9&gt;=参数配置!$C$18,"极端清仓",IF(F9&gt;=参数配置!$C$17,"三档收割",IF(F9&gt;=参数配置!$C$16,"二档收割",IF(F9&gt;=参数配置!$C$15,"一档收割",IF(F9&lt;=参数配置!$C$23,"三档加码",IF(F9&lt;=参数配置!$C$22,"二档加码",IF(F9&lt;=参数配置!$C$21,"一档加码","正常定投"))))))),"")</f>
        <v/>
      </c>
      <c r="K9" s="29">
        <f>IFERROR(IF(F9&gt;=参数配置!$C$18,-(H9),IF(F9&gt;=参数配置!$C$17,-((H9-C9)*参数配置!$D$17),IF(F9&gt;=参数配置!$C$16,-((H9-C9)*参数配置!$D$16),IF(F9&gt;=参数配置!$C$15,-((H9-C9)*参数配置!$D$15),IF(F9&lt;=参数配置!$C$23,I9+参数配置!$C$8*参数配置!$D$23,IF(F9&lt;=参数配置!$C$22,I9+参数配置!$C$8*参数配置!$D$22,IF(F9&lt;=参数配置!$C$21,I9+参数配置!$C$8*参数配置!$D$21,I9))))))),"")</f>
        <v/>
      </c>
      <c r="L9" s="17" t="n"/>
      <c r="M9" s="26" t="n"/>
      <c r="N9" s="30">
        <f>IFERROR(G9+M9,"")</f>
        <v/>
      </c>
      <c r="O9" s="7">
        <f>IFERROR(O8+L9,"")</f>
        <v/>
      </c>
      <c r="P9" s="7">
        <f>IFERROR(-L9,"")</f>
        <v/>
      </c>
      <c r="Q9" s="31" t="n"/>
    </row>
    <row r="10">
      <c r="A10" s="16" t="n"/>
      <c r="B10" s="15" t="n"/>
      <c r="C10" s="7">
        <f>IFERROR(参数配置!$C$8*B10,"")</f>
        <v/>
      </c>
      <c r="D10" s="26" t="n"/>
      <c r="E10" s="26" t="n"/>
      <c r="F10" s="27">
        <f>IFERROR((D10-E10)/E10,"")</f>
        <v/>
      </c>
      <c r="G10" s="26" t="n"/>
      <c r="H10" s="7">
        <f>IFERROR(G10*D10,"")</f>
        <v/>
      </c>
      <c r="I10" s="7">
        <f>IFERROR(IF(F10&gt;=参数配置!$C$18,0,IF(F10&lt;=参数配置!$C$21,MAX(0,MIN(C10-H10,参数配置!$C$8*参数配置!$C$13)),MAX(0,MIN(C10-H10,参数配置!$C$8*参数配置!$C$12)))),"")</f>
        <v/>
      </c>
      <c r="J10" s="28">
        <f>IFERROR(IF(F10&gt;=参数配置!$C$18,"极端清仓",IF(F10&gt;=参数配置!$C$17,"三档收割",IF(F10&gt;=参数配置!$C$16,"二档收割",IF(F10&gt;=参数配置!$C$15,"一档收割",IF(F10&lt;=参数配置!$C$23,"三档加码",IF(F10&lt;=参数配置!$C$22,"二档加码",IF(F10&lt;=参数配置!$C$21,"一档加码","正常定投"))))))),"")</f>
        <v/>
      </c>
      <c r="K10" s="29">
        <f>IFERROR(IF(F10&gt;=参数配置!$C$18,-(H10),IF(F10&gt;=参数配置!$C$17,-((H10-C10)*参数配置!$D$17),IF(F10&gt;=参数配置!$C$16,-((H10-C10)*参数配置!$D$16),IF(F10&gt;=参数配置!$C$15,-((H10-C10)*参数配置!$D$15),IF(F10&lt;=参数配置!$C$23,I10+参数配置!$C$8*参数配置!$D$23,IF(F10&lt;=参数配置!$C$22,I10+参数配置!$C$8*参数配置!$D$22,IF(F10&lt;=参数配置!$C$21,I10+参数配置!$C$8*参数配置!$D$21,I10))))))),"")</f>
        <v/>
      </c>
      <c r="L10" s="17" t="n"/>
      <c r="M10" s="26" t="n"/>
      <c r="N10" s="30">
        <f>IFERROR(G10+M10,"")</f>
        <v/>
      </c>
      <c r="O10" s="7">
        <f>IFERROR(O9+L10,"")</f>
        <v/>
      </c>
      <c r="P10" s="7">
        <f>IFERROR(-L10,"")</f>
        <v/>
      </c>
      <c r="Q10" s="31" t="n"/>
    </row>
    <row r="11">
      <c r="A11" s="16" t="n"/>
      <c r="B11" s="15" t="n"/>
      <c r="C11" s="7">
        <f>IFERROR(参数配置!$C$8*B11,"")</f>
        <v/>
      </c>
      <c r="D11" s="26" t="n"/>
      <c r="E11" s="26" t="n"/>
      <c r="F11" s="27">
        <f>IFERROR((D11-E11)/E11,"")</f>
        <v/>
      </c>
      <c r="G11" s="26" t="n"/>
      <c r="H11" s="7">
        <f>IFERROR(G11*D11,"")</f>
        <v/>
      </c>
      <c r="I11" s="7">
        <f>IFERROR(IF(F11&gt;=参数配置!$C$18,0,IF(F11&lt;=参数配置!$C$21,MAX(0,MIN(C11-H11,参数配置!$C$8*参数配置!$C$13)),MAX(0,MIN(C11-H11,参数配置!$C$8*参数配置!$C$12)))),"")</f>
        <v/>
      </c>
      <c r="J11" s="28">
        <f>IFERROR(IF(F11&gt;=参数配置!$C$18,"极端清仓",IF(F11&gt;=参数配置!$C$17,"三档收割",IF(F11&gt;=参数配置!$C$16,"二档收割",IF(F11&gt;=参数配置!$C$15,"一档收割",IF(F11&lt;=参数配置!$C$23,"三档加码",IF(F11&lt;=参数配置!$C$22,"二档加码",IF(F11&lt;=参数配置!$C$21,"一档加码","正常定投"))))))),"")</f>
        <v/>
      </c>
      <c r="K11" s="29">
        <f>IFERROR(IF(F11&gt;=参数配置!$C$18,-(H11),IF(F11&gt;=参数配置!$C$17,-((H11-C11)*参数配置!$D$17),IF(F11&gt;=参数配置!$C$16,-((H11-C11)*参数配置!$D$16),IF(F11&gt;=参数配置!$C$15,-((H11-C11)*参数配置!$D$15),IF(F11&lt;=参数配置!$C$23,I11+参数配置!$C$8*参数配置!$D$23,IF(F11&lt;=参数配置!$C$22,I11+参数配置!$C$8*参数配置!$D$22,IF(F11&lt;=参数配置!$C$21,I11+参数配置!$C$8*参数配置!$D$21,I11))))))),"")</f>
        <v/>
      </c>
      <c r="L11" s="17" t="n"/>
      <c r="M11" s="26" t="n"/>
      <c r="N11" s="30">
        <f>IFERROR(G11+M11,"")</f>
        <v/>
      </c>
      <c r="O11" s="7">
        <f>IFERROR(O10+L11,"")</f>
        <v/>
      </c>
      <c r="P11" s="7">
        <f>IFERROR(-L11,"")</f>
        <v/>
      </c>
      <c r="Q11" s="31" t="n"/>
    </row>
    <row r="12">
      <c r="A12" s="16" t="n"/>
      <c r="B12" s="15" t="n"/>
      <c r="C12" s="7">
        <f>IFERROR(参数配置!$C$8*B12,"")</f>
        <v/>
      </c>
      <c r="D12" s="26" t="n"/>
      <c r="E12" s="26" t="n"/>
      <c r="F12" s="27">
        <f>IFERROR((D12-E12)/E12,"")</f>
        <v/>
      </c>
      <c r="G12" s="26" t="n"/>
      <c r="H12" s="7">
        <f>IFERROR(G12*D12,"")</f>
        <v/>
      </c>
      <c r="I12" s="7">
        <f>IFERROR(IF(F12&gt;=参数配置!$C$18,0,IF(F12&lt;=参数配置!$C$21,MAX(0,MIN(C12-H12,参数配置!$C$8*参数配置!$C$13)),MAX(0,MIN(C12-H12,参数配置!$C$8*参数配置!$C$12)))),"")</f>
        <v/>
      </c>
      <c r="J12" s="28">
        <f>IFERROR(IF(F12&gt;=参数配置!$C$18,"极端清仓",IF(F12&gt;=参数配置!$C$17,"三档收割",IF(F12&gt;=参数配置!$C$16,"二档收割",IF(F12&gt;=参数配置!$C$15,"一档收割",IF(F12&lt;=参数配置!$C$23,"三档加码",IF(F12&lt;=参数配置!$C$22,"二档加码",IF(F12&lt;=参数配置!$C$21,"一档加码","正常定投"))))))),"")</f>
        <v/>
      </c>
      <c r="K12" s="29">
        <f>IFERROR(IF(F12&gt;=参数配置!$C$18,-(H12),IF(F12&gt;=参数配置!$C$17,-((H12-C12)*参数配置!$D$17),IF(F12&gt;=参数配置!$C$16,-((H12-C12)*参数配置!$D$16),IF(F12&gt;=参数配置!$C$15,-((H12-C12)*参数配置!$D$15),IF(F12&lt;=参数配置!$C$23,I12+参数配置!$C$8*参数配置!$D$23,IF(F12&lt;=参数配置!$C$22,I12+参数配置!$C$8*参数配置!$D$22,IF(F12&lt;=参数配置!$C$21,I12+参数配置!$C$8*参数配置!$D$21,I12))))))),"")</f>
        <v/>
      </c>
      <c r="L12" s="17" t="n"/>
      <c r="M12" s="26" t="n"/>
      <c r="N12" s="30">
        <f>IFERROR(G12+M12,"")</f>
        <v/>
      </c>
      <c r="O12" s="7">
        <f>IFERROR(O11+L12,"")</f>
        <v/>
      </c>
      <c r="P12" s="7">
        <f>IFERROR(-L12,"")</f>
        <v/>
      </c>
      <c r="Q12" s="31" t="n"/>
    </row>
    <row r="13">
      <c r="A13" s="16" t="n"/>
      <c r="B13" s="15" t="n"/>
      <c r="C13" s="7">
        <f>IFERROR(参数配置!$C$8*B13,"")</f>
        <v/>
      </c>
      <c r="D13" s="26" t="n"/>
      <c r="E13" s="26" t="n"/>
      <c r="F13" s="27">
        <f>IFERROR((D13-E13)/E13,"")</f>
        <v/>
      </c>
      <c r="G13" s="26" t="n"/>
      <c r="H13" s="7">
        <f>IFERROR(G13*D13,"")</f>
        <v/>
      </c>
      <c r="I13" s="7">
        <f>IFERROR(IF(F13&gt;=参数配置!$C$18,0,IF(F13&lt;=参数配置!$C$21,MAX(0,MIN(C13-H13,参数配置!$C$8*参数配置!$C$13)),MAX(0,MIN(C13-H13,参数配置!$C$8*参数配置!$C$12)))),"")</f>
        <v/>
      </c>
      <c r="J13" s="28">
        <f>IFERROR(IF(F13&gt;=参数配置!$C$18,"极端清仓",IF(F13&gt;=参数配置!$C$17,"三档收割",IF(F13&gt;=参数配置!$C$16,"二档收割",IF(F13&gt;=参数配置!$C$15,"一档收割",IF(F13&lt;=参数配置!$C$23,"三档加码",IF(F13&lt;=参数配置!$C$22,"二档加码",IF(F13&lt;=参数配置!$C$21,"一档加码","正常定投"))))))),"")</f>
        <v/>
      </c>
      <c r="K13" s="29">
        <f>IFERROR(IF(F13&gt;=参数配置!$C$18,-(H13),IF(F13&gt;=参数配置!$C$17,-((H13-C13)*参数配置!$D$17),IF(F13&gt;=参数配置!$C$16,-((H13-C13)*参数配置!$D$16),IF(F13&gt;=参数配置!$C$15,-((H13-C13)*参数配置!$D$15),IF(F13&lt;=参数配置!$C$23,I13+参数配置!$C$8*参数配置!$D$23,IF(F13&lt;=参数配置!$C$22,I13+参数配置!$C$8*参数配置!$D$22,IF(F13&lt;=参数配置!$C$21,I13+参数配置!$C$8*参数配置!$D$21,I13))))))),"")</f>
        <v/>
      </c>
      <c r="L13" s="17" t="n"/>
      <c r="M13" s="26" t="n"/>
      <c r="N13" s="30">
        <f>IFERROR(G13+M13,"")</f>
        <v/>
      </c>
      <c r="O13" s="7">
        <f>IFERROR(O12+L13,"")</f>
        <v/>
      </c>
      <c r="P13" s="7">
        <f>IFERROR(-L13,"")</f>
        <v/>
      </c>
      <c r="Q13" s="31" t="n"/>
    </row>
    <row r="14">
      <c r="A14" s="16" t="n"/>
      <c r="B14" s="15" t="n"/>
      <c r="C14" s="7">
        <f>IFERROR(参数配置!$C$8*B14,"")</f>
        <v/>
      </c>
      <c r="D14" s="26" t="n"/>
      <c r="E14" s="26" t="n"/>
      <c r="F14" s="27">
        <f>IFERROR((D14-E14)/E14,"")</f>
        <v/>
      </c>
      <c r="G14" s="26" t="n"/>
      <c r="H14" s="7">
        <f>IFERROR(G14*D14,"")</f>
        <v/>
      </c>
      <c r="I14" s="7">
        <f>IFERROR(IF(F14&gt;=参数配置!$C$18,0,IF(F14&lt;=参数配置!$C$21,MAX(0,MIN(C14-H14,参数配置!$C$8*参数配置!$C$13)),MAX(0,MIN(C14-H14,参数配置!$C$8*参数配置!$C$12)))),"")</f>
        <v/>
      </c>
      <c r="J14" s="28">
        <f>IFERROR(IF(F14&gt;=参数配置!$C$18,"极端清仓",IF(F14&gt;=参数配置!$C$17,"三档收割",IF(F14&gt;=参数配置!$C$16,"二档收割",IF(F14&gt;=参数配置!$C$15,"一档收割",IF(F14&lt;=参数配置!$C$23,"三档加码",IF(F14&lt;=参数配置!$C$22,"二档加码",IF(F14&lt;=参数配置!$C$21,"一档加码","正常定投"))))))),"")</f>
        <v/>
      </c>
      <c r="K14" s="29">
        <f>IFERROR(IF(F14&gt;=参数配置!$C$18,-(H14),IF(F14&gt;=参数配置!$C$17,-((H14-C14)*参数配置!$D$17),IF(F14&gt;=参数配置!$C$16,-((H14-C14)*参数配置!$D$16),IF(F14&gt;=参数配置!$C$15,-((H14-C14)*参数配置!$D$15),IF(F14&lt;=参数配置!$C$23,I14+参数配置!$C$8*参数配置!$D$23,IF(F14&lt;=参数配置!$C$22,I14+参数配置!$C$8*参数配置!$D$22,IF(F14&lt;=参数配置!$C$21,I14+参数配置!$C$8*参数配置!$D$21,I14))))))),"")</f>
        <v/>
      </c>
      <c r="L14" s="17" t="n"/>
      <c r="M14" s="26" t="n"/>
      <c r="N14" s="30">
        <f>IFERROR(G14+M14,"")</f>
        <v/>
      </c>
      <c r="O14" s="7">
        <f>IFERROR(O13+L14,"")</f>
        <v/>
      </c>
      <c r="P14" s="7">
        <f>IFERROR(-L14,"")</f>
        <v/>
      </c>
      <c r="Q14" s="31" t="n"/>
    </row>
    <row r="15">
      <c r="A15" s="16" t="n"/>
      <c r="B15" s="15" t="n"/>
      <c r="C15" s="7">
        <f>IFERROR(参数配置!$C$8*B15,"")</f>
        <v/>
      </c>
      <c r="D15" s="26" t="n"/>
      <c r="E15" s="26" t="n"/>
      <c r="F15" s="27">
        <f>IFERROR((D15-E15)/E15,"")</f>
        <v/>
      </c>
      <c r="G15" s="26" t="n"/>
      <c r="H15" s="7">
        <f>IFERROR(G15*D15,"")</f>
        <v/>
      </c>
      <c r="I15" s="7">
        <f>IFERROR(IF(F15&gt;=参数配置!$C$18,0,IF(F15&lt;=参数配置!$C$21,MAX(0,MIN(C15-H15,参数配置!$C$8*参数配置!$C$13)),MAX(0,MIN(C15-H15,参数配置!$C$8*参数配置!$C$12)))),"")</f>
        <v/>
      </c>
      <c r="J15" s="28">
        <f>IFERROR(IF(F15&gt;=参数配置!$C$18,"极端清仓",IF(F15&gt;=参数配置!$C$17,"三档收割",IF(F15&gt;=参数配置!$C$16,"二档收割",IF(F15&gt;=参数配置!$C$15,"一档收割",IF(F15&lt;=参数配置!$C$23,"三档加码",IF(F15&lt;=参数配置!$C$22,"二档加码",IF(F15&lt;=参数配置!$C$21,"一档加码","正常定投"))))))),"")</f>
        <v/>
      </c>
      <c r="K15" s="29">
        <f>IFERROR(IF(F15&gt;=参数配置!$C$18,-(H15),IF(F15&gt;=参数配置!$C$17,-((H15-C15)*参数配置!$D$17),IF(F15&gt;=参数配置!$C$16,-((H15-C15)*参数配置!$D$16),IF(F15&gt;=参数配置!$C$15,-((H15-C15)*参数配置!$D$15),IF(F15&lt;=参数配置!$C$23,I15+参数配置!$C$8*参数配置!$D$23,IF(F15&lt;=参数配置!$C$22,I15+参数配置!$C$8*参数配置!$D$22,IF(F15&lt;=参数配置!$C$21,I15+参数配置!$C$8*参数配置!$D$21,I15))))))),"")</f>
        <v/>
      </c>
      <c r="L15" s="17" t="n"/>
      <c r="M15" s="26" t="n"/>
      <c r="N15" s="30">
        <f>IFERROR(G15+M15,"")</f>
        <v/>
      </c>
      <c r="O15" s="7">
        <f>IFERROR(O14+L15,"")</f>
        <v/>
      </c>
      <c r="P15" s="7">
        <f>IFERROR(-L15,"")</f>
        <v/>
      </c>
      <c r="Q15" s="31" t="n"/>
    </row>
    <row r="16">
      <c r="A16" s="16" t="n"/>
      <c r="B16" s="15" t="n"/>
      <c r="C16" s="7">
        <f>IFERROR(参数配置!$C$8*B16,"")</f>
        <v/>
      </c>
      <c r="D16" s="26" t="n"/>
      <c r="E16" s="26" t="n"/>
      <c r="F16" s="27">
        <f>IFERROR((D16-E16)/E16,"")</f>
        <v/>
      </c>
      <c r="G16" s="26" t="n"/>
      <c r="H16" s="7">
        <f>IFERROR(G16*D16,"")</f>
        <v/>
      </c>
      <c r="I16" s="7">
        <f>IFERROR(IF(F16&gt;=参数配置!$C$18,0,IF(F16&lt;=参数配置!$C$21,MAX(0,MIN(C16-H16,参数配置!$C$8*参数配置!$C$13)),MAX(0,MIN(C16-H16,参数配置!$C$8*参数配置!$C$12)))),"")</f>
        <v/>
      </c>
      <c r="J16" s="28">
        <f>IFERROR(IF(F16&gt;=参数配置!$C$18,"极端清仓",IF(F16&gt;=参数配置!$C$17,"三档收割",IF(F16&gt;=参数配置!$C$16,"二档收割",IF(F16&gt;=参数配置!$C$15,"一档收割",IF(F16&lt;=参数配置!$C$23,"三档加码",IF(F16&lt;=参数配置!$C$22,"二档加码",IF(F16&lt;=参数配置!$C$21,"一档加码","正常定投"))))))),"")</f>
        <v/>
      </c>
      <c r="K16" s="29">
        <f>IFERROR(IF(F16&gt;=参数配置!$C$18,-(H16),IF(F16&gt;=参数配置!$C$17,-((H16-C16)*参数配置!$D$17),IF(F16&gt;=参数配置!$C$16,-((H16-C16)*参数配置!$D$16),IF(F16&gt;=参数配置!$C$15,-((H16-C16)*参数配置!$D$15),IF(F16&lt;=参数配置!$C$23,I16+参数配置!$C$8*参数配置!$D$23,IF(F16&lt;=参数配置!$C$22,I16+参数配置!$C$8*参数配置!$D$22,IF(F16&lt;=参数配置!$C$21,I16+参数配置!$C$8*参数配置!$D$21,I16))))))),"")</f>
        <v/>
      </c>
      <c r="L16" s="17" t="n"/>
      <c r="M16" s="26" t="n"/>
      <c r="N16" s="30">
        <f>IFERROR(G16+M16,"")</f>
        <v/>
      </c>
      <c r="O16" s="7">
        <f>IFERROR(O15+L16,"")</f>
        <v/>
      </c>
      <c r="P16" s="7">
        <f>IFERROR(-L16,"")</f>
        <v/>
      </c>
      <c r="Q16" s="31" t="n"/>
    </row>
    <row r="17">
      <c r="A17" s="16" t="n"/>
      <c r="B17" s="15" t="n"/>
      <c r="C17" s="7">
        <f>IFERROR(参数配置!$C$8*B17,"")</f>
        <v/>
      </c>
      <c r="D17" s="26" t="n"/>
      <c r="E17" s="26" t="n"/>
      <c r="F17" s="27">
        <f>IFERROR((D17-E17)/E17,"")</f>
        <v/>
      </c>
      <c r="G17" s="26" t="n"/>
      <c r="H17" s="7">
        <f>IFERROR(G17*D17,"")</f>
        <v/>
      </c>
      <c r="I17" s="7">
        <f>IFERROR(IF(F17&gt;=参数配置!$C$18,0,IF(F17&lt;=参数配置!$C$21,MAX(0,MIN(C17-H17,参数配置!$C$8*参数配置!$C$13)),MAX(0,MIN(C17-H17,参数配置!$C$8*参数配置!$C$12)))),"")</f>
        <v/>
      </c>
      <c r="J17" s="28">
        <f>IFERROR(IF(F17&gt;=参数配置!$C$18,"极端清仓",IF(F17&gt;=参数配置!$C$17,"三档收割",IF(F17&gt;=参数配置!$C$16,"二档收割",IF(F17&gt;=参数配置!$C$15,"一档收割",IF(F17&lt;=参数配置!$C$23,"三档加码",IF(F17&lt;=参数配置!$C$22,"二档加码",IF(F17&lt;=参数配置!$C$21,"一档加码","正常定投"))))))),"")</f>
        <v/>
      </c>
      <c r="K17" s="29">
        <f>IFERROR(IF(F17&gt;=参数配置!$C$18,-(H17),IF(F17&gt;=参数配置!$C$17,-((H17-C17)*参数配置!$D$17),IF(F17&gt;=参数配置!$C$16,-((H17-C17)*参数配置!$D$16),IF(F17&gt;=参数配置!$C$15,-((H17-C17)*参数配置!$D$15),IF(F17&lt;=参数配置!$C$23,I17+参数配置!$C$8*参数配置!$D$23,IF(F17&lt;=参数配置!$C$22,I17+参数配置!$C$8*参数配置!$D$22,IF(F17&lt;=参数配置!$C$21,I17+参数配置!$C$8*参数配置!$D$21,I17))))))),"")</f>
        <v/>
      </c>
      <c r="L17" s="17" t="n"/>
      <c r="M17" s="26" t="n"/>
      <c r="N17" s="30">
        <f>IFERROR(G17+M17,"")</f>
        <v/>
      </c>
      <c r="O17" s="7">
        <f>IFERROR(O16+L17,"")</f>
        <v/>
      </c>
      <c r="P17" s="7">
        <f>IFERROR(-L17,"")</f>
        <v/>
      </c>
      <c r="Q17" s="31" t="n"/>
    </row>
    <row r="18">
      <c r="A18" s="16" t="n"/>
      <c r="B18" s="15" t="n"/>
      <c r="C18" s="7">
        <f>IFERROR(参数配置!$C$8*B18,"")</f>
        <v/>
      </c>
      <c r="D18" s="26" t="n"/>
      <c r="E18" s="26" t="n"/>
      <c r="F18" s="27">
        <f>IFERROR((D18-E18)/E18,"")</f>
        <v/>
      </c>
      <c r="G18" s="26" t="n"/>
      <c r="H18" s="7">
        <f>IFERROR(G18*D18,"")</f>
        <v/>
      </c>
      <c r="I18" s="7">
        <f>IFERROR(IF(F18&gt;=参数配置!$C$18,0,IF(F18&lt;=参数配置!$C$21,MAX(0,MIN(C18-H18,参数配置!$C$8*参数配置!$C$13)),MAX(0,MIN(C18-H18,参数配置!$C$8*参数配置!$C$12)))),"")</f>
        <v/>
      </c>
      <c r="J18" s="28">
        <f>IFERROR(IF(F18&gt;=参数配置!$C$18,"极端清仓",IF(F18&gt;=参数配置!$C$17,"三档收割",IF(F18&gt;=参数配置!$C$16,"二档收割",IF(F18&gt;=参数配置!$C$15,"一档收割",IF(F18&lt;=参数配置!$C$23,"三档加码",IF(F18&lt;=参数配置!$C$22,"二档加码",IF(F18&lt;=参数配置!$C$21,"一档加码","正常定投"))))))),"")</f>
        <v/>
      </c>
      <c r="K18" s="29">
        <f>IFERROR(IF(F18&gt;=参数配置!$C$18,-(H18),IF(F18&gt;=参数配置!$C$17,-((H18-C18)*参数配置!$D$17),IF(F18&gt;=参数配置!$C$16,-((H18-C18)*参数配置!$D$16),IF(F18&gt;=参数配置!$C$15,-((H18-C18)*参数配置!$D$15),IF(F18&lt;=参数配置!$C$23,I18+参数配置!$C$8*参数配置!$D$23,IF(F18&lt;=参数配置!$C$22,I18+参数配置!$C$8*参数配置!$D$22,IF(F18&lt;=参数配置!$C$21,I18+参数配置!$C$8*参数配置!$D$21,I18))))))),"")</f>
        <v/>
      </c>
      <c r="L18" s="17" t="n"/>
      <c r="M18" s="26" t="n"/>
      <c r="N18" s="30">
        <f>IFERROR(G18+M18,"")</f>
        <v/>
      </c>
      <c r="O18" s="7">
        <f>IFERROR(O17+L18,"")</f>
        <v/>
      </c>
      <c r="P18" s="7">
        <f>IFERROR(-L18,"")</f>
        <v/>
      </c>
      <c r="Q18" s="31" t="n"/>
    </row>
    <row r="19">
      <c r="A19" s="16" t="n"/>
      <c r="B19" s="15" t="n"/>
      <c r="C19" s="7">
        <f>IFERROR(参数配置!$C$8*B19,"")</f>
        <v/>
      </c>
      <c r="D19" s="26" t="n"/>
      <c r="E19" s="26" t="n"/>
      <c r="F19" s="27">
        <f>IFERROR((D19-E19)/E19,"")</f>
        <v/>
      </c>
      <c r="G19" s="26" t="n"/>
      <c r="H19" s="7">
        <f>IFERROR(G19*D19,"")</f>
        <v/>
      </c>
      <c r="I19" s="7">
        <f>IFERROR(IF(F19&gt;=参数配置!$C$18,0,IF(F19&lt;=参数配置!$C$21,MAX(0,MIN(C19-H19,参数配置!$C$8*参数配置!$C$13)),MAX(0,MIN(C19-H19,参数配置!$C$8*参数配置!$C$12)))),"")</f>
        <v/>
      </c>
      <c r="J19" s="28">
        <f>IFERROR(IF(F19&gt;=参数配置!$C$18,"极端清仓",IF(F19&gt;=参数配置!$C$17,"三档收割",IF(F19&gt;=参数配置!$C$16,"二档收割",IF(F19&gt;=参数配置!$C$15,"一档收割",IF(F19&lt;=参数配置!$C$23,"三档加码",IF(F19&lt;=参数配置!$C$22,"二档加码",IF(F19&lt;=参数配置!$C$21,"一档加码","正常定投"))))))),"")</f>
        <v/>
      </c>
      <c r="K19" s="29">
        <f>IFERROR(IF(F19&gt;=参数配置!$C$18,-(H19),IF(F19&gt;=参数配置!$C$17,-((H19-C19)*参数配置!$D$17),IF(F19&gt;=参数配置!$C$16,-((H19-C19)*参数配置!$D$16),IF(F19&gt;=参数配置!$C$15,-((H19-C19)*参数配置!$D$15),IF(F19&lt;=参数配置!$C$23,I19+参数配置!$C$8*参数配置!$D$23,IF(F19&lt;=参数配置!$C$22,I19+参数配置!$C$8*参数配置!$D$22,IF(F19&lt;=参数配置!$C$21,I19+参数配置!$C$8*参数配置!$D$21,I19))))))),"")</f>
        <v/>
      </c>
      <c r="L19" s="17" t="n"/>
      <c r="M19" s="26" t="n"/>
      <c r="N19" s="30">
        <f>IFERROR(G19+M19,"")</f>
        <v/>
      </c>
      <c r="O19" s="7">
        <f>IFERROR(O18+L19,"")</f>
        <v/>
      </c>
      <c r="P19" s="7">
        <f>IFERROR(-L19,"")</f>
        <v/>
      </c>
      <c r="Q19" s="31" t="n"/>
    </row>
    <row r="20">
      <c r="A20" s="16" t="n"/>
      <c r="B20" s="15" t="n"/>
      <c r="C20" s="7">
        <f>IFERROR(参数配置!$C$8*B20,"")</f>
        <v/>
      </c>
      <c r="D20" s="26" t="n"/>
      <c r="E20" s="26" t="n"/>
      <c r="F20" s="27">
        <f>IFERROR((D20-E20)/E20,"")</f>
        <v/>
      </c>
      <c r="G20" s="26" t="n"/>
      <c r="H20" s="7">
        <f>IFERROR(G20*D20,"")</f>
        <v/>
      </c>
      <c r="I20" s="7">
        <f>IFERROR(IF(F20&gt;=参数配置!$C$18,0,IF(F20&lt;=参数配置!$C$21,MAX(0,MIN(C20-H20,参数配置!$C$8*参数配置!$C$13)),MAX(0,MIN(C20-H20,参数配置!$C$8*参数配置!$C$12)))),"")</f>
        <v/>
      </c>
      <c r="J20" s="28">
        <f>IFERROR(IF(F20&gt;=参数配置!$C$18,"极端清仓",IF(F20&gt;=参数配置!$C$17,"三档收割",IF(F20&gt;=参数配置!$C$16,"二档收割",IF(F20&gt;=参数配置!$C$15,"一档收割",IF(F20&lt;=参数配置!$C$23,"三档加码",IF(F20&lt;=参数配置!$C$22,"二档加码",IF(F20&lt;=参数配置!$C$21,"一档加码","正常定投"))))))),"")</f>
        <v/>
      </c>
      <c r="K20" s="29">
        <f>IFERROR(IF(F20&gt;=参数配置!$C$18,-(H20),IF(F20&gt;=参数配置!$C$17,-((H20-C20)*参数配置!$D$17),IF(F20&gt;=参数配置!$C$16,-((H20-C20)*参数配置!$D$16),IF(F20&gt;=参数配置!$C$15,-((H20-C20)*参数配置!$D$15),IF(F20&lt;=参数配置!$C$23,I20+参数配置!$C$8*参数配置!$D$23,IF(F20&lt;=参数配置!$C$22,I20+参数配置!$C$8*参数配置!$D$22,IF(F20&lt;=参数配置!$C$21,I20+参数配置!$C$8*参数配置!$D$21,I20))))))),"")</f>
        <v/>
      </c>
      <c r="L20" s="17" t="n"/>
      <c r="M20" s="26" t="n"/>
      <c r="N20" s="30">
        <f>IFERROR(G20+M20,"")</f>
        <v/>
      </c>
      <c r="O20" s="7">
        <f>IFERROR(O19+L20,"")</f>
        <v/>
      </c>
      <c r="P20" s="7">
        <f>IFERROR(-L20,"")</f>
        <v/>
      </c>
      <c r="Q20" s="31" t="n"/>
    </row>
    <row r="21">
      <c r="A21" s="16" t="n"/>
      <c r="B21" s="15" t="n"/>
      <c r="C21" s="7">
        <f>IFERROR(参数配置!$C$8*B21,"")</f>
        <v/>
      </c>
      <c r="D21" s="26" t="n"/>
      <c r="E21" s="26" t="n"/>
      <c r="F21" s="27">
        <f>IFERROR((D21-E21)/E21,"")</f>
        <v/>
      </c>
      <c r="G21" s="26" t="n"/>
      <c r="H21" s="7">
        <f>IFERROR(G21*D21,"")</f>
        <v/>
      </c>
      <c r="I21" s="7">
        <f>IFERROR(IF(F21&gt;=参数配置!$C$18,0,IF(F21&lt;=参数配置!$C$21,MAX(0,MIN(C21-H21,参数配置!$C$8*参数配置!$C$13)),MAX(0,MIN(C21-H21,参数配置!$C$8*参数配置!$C$12)))),"")</f>
        <v/>
      </c>
      <c r="J21" s="28">
        <f>IFERROR(IF(F21&gt;=参数配置!$C$18,"极端清仓",IF(F21&gt;=参数配置!$C$17,"三档收割",IF(F21&gt;=参数配置!$C$16,"二档收割",IF(F21&gt;=参数配置!$C$15,"一档收割",IF(F21&lt;=参数配置!$C$23,"三档加码",IF(F21&lt;=参数配置!$C$22,"二档加码",IF(F21&lt;=参数配置!$C$21,"一档加码","正常定投"))))))),"")</f>
        <v/>
      </c>
      <c r="K21" s="29">
        <f>IFERROR(IF(F21&gt;=参数配置!$C$18,-(H21),IF(F21&gt;=参数配置!$C$17,-((H21-C21)*参数配置!$D$17),IF(F21&gt;=参数配置!$C$16,-((H21-C21)*参数配置!$D$16),IF(F21&gt;=参数配置!$C$15,-((H21-C21)*参数配置!$D$15),IF(F21&lt;=参数配置!$C$23,I21+参数配置!$C$8*参数配置!$D$23,IF(F21&lt;=参数配置!$C$22,I21+参数配置!$C$8*参数配置!$D$22,IF(F21&lt;=参数配置!$C$21,I21+参数配置!$C$8*参数配置!$D$21,I21))))))),"")</f>
        <v/>
      </c>
      <c r="L21" s="17" t="n"/>
      <c r="M21" s="26" t="n"/>
      <c r="N21" s="30">
        <f>IFERROR(G21+M21,"")</f>
        <v/>
      </c>
      <c r="O21" s="7">
        <f>IFERROR(O20+L21,"")</f>
        <v/>
      </c>
      <c r="P21" s="7">
        <f>IFERROR(-L21,"")</f>
        <v/>
      </c>
      <c r="Q21" s="31" t="n"/>
    </row>
    <row r="22">
      <c r="A22" s="16" t="n"/>
      <c r="B22" s="15" t="n"/>
      <c r="C22" s="7">
        <f>IFERROR(参数配置!$C$8*B22,"")</f>
        <v/>
      </c>
      <c r="D22" s="26" t="n"/>
      <c r="E22" s="26" t="n"/>
      <c r="F22" s="27">
        <f>IFERROR((D22-E22)/E22,"")</f>
        <v/>
      </c>
      <c r="G22" s="26" t="n"/>
      <c r="H22" s="7">
        <f>IFERROR(G22*D22,"")</f>
        <v/>
      </c>
      <c r="I22" s="7">
        <f>IFERROR(IF(F22&gt;=参数配置!$C$18,0,IF(F22&lt;=参数配置!$C$21,MAX(0,MIN(C22-H22,参数配置!$C$8*参数配置!$C$13)),MAX(0,MIN(C22-H22,参数配置!$C$8*参数配置!$C$12)))),"")</f>
        <v/>
      </c>
      <c r="J22" s="28">
        <f>IFERROR(IF(F22&gt;=参数配置!$C$18,"极端清仓",IF(F22&gt;=参数配置!$C$17,"三档收割",IF(F22&gt;=参数配置!$C$16,"二档收割",IF(F22&gt;=参数配置!$C$15,"一档收割",IF(F22&lt;=参数配置!$C$23,"三档加码",IF(F22&lt;=参数配置!$C$22,"二档加码",IF(F22&lt;=参数配置!$C$21,"一档加码","正常定投"))))))),"")</f>
        <v/>
      </c>
      <c r="K22" s="29">
        <f>IFERROR(IF(F22&gt;=参数配置!$C$18,-(H22),IF(F22&gt;=参数配置!$C$17,-((H22-C22)*参数配置!$D$17),IF(F22&gt;=参数配置!$C$16,-((H22-C22)*参数配置!$D$16),IF(F22&gt;=参数配置!$C$15,-((H22-C22)*参数配置!$D$15),IF(F22&lt;=参数配置!$C$23,I22+参数配置!$C$8*参数配置!$D$23,IF(F22&lt;=参数配置!$C$22,I22+参数配置!$C$8*参数配置!$D$22,IF(F22&lt;=参数配置!$C$21,I22+参数配置!$C$8*参数配置!$D$21,I22))))))),"")</f>
        <v/>
      </c>
      <c r="L22" s="17" t="n"/>
      <c r="M22" s="26" t="n"/>
      <c r="N22" s="30">
        <f>IFERROR(G22+M22,"")</f>
        <v/>
      </c>
      <c r="O22" s="7">
        <f>IFERROR(O21+L22,"")</f>
        <v/>
      </c>
      <c r="P22" s="7">
        <f>IFERROR(-L22,"")</f>
        <v/>
      </c>
      <c r="Q22" s="31" t="n"/>
    </row>
    <row r="23">
      <c r="A23" s="16" t="n"/>
      <c r="B23" s="15" t="n"/>
      <c r="C23" s="7">
        <f>IFERROR(参数配置!$C$8*B23,"")</f>
        <v/>
      </c>
      <c r="D23" s="26" t="n"/>
      <c r="E23" s="26" t="n"/>
      <c r="F23" s="27">
        <f>IFERROR((D23-E23)/E23,"")</f>
        <v/>
      </c>
      <c r="G23" s="26" t="n"/>
      <c r="H23" s="7">
        <f>IFERROR(G23*D23,"")</f>
        <v/>
      </c>
      <c r="I23" s="7">
        <f>IFERROR(IF(F23&gt;=参数配置!$C$18,0,IF(F23&lt;=参数配置!$C$21,MAX(0,MIN(C23-H23,参数配置!$C$8*参数配置!$C$13)),MAX(0,MIN(C23-H23,参数配置!$C$8*参数配置!$C$12)))),"")</f>
        <v/>
      </c>
      <c r="J23" s="28">
        <f>IFERROR(IF(F23&gt;=参数配置!$C$18,"极端清仓",IF(F23&gt;=参数配置!$C$17,"三档收割",IF(F23&gt;=参数配置!$C$16,"二档收割",IF(F23&gt;=参数配置!$C$15,"一档收割",IF(F23&lt;=参数配置!$C$23,"三档加码",IF(F23&lt;=参数配置!$C$22,"二档加码",IF(F23&lt;=参数配置!$C$21,"一档加码","正常定投"))))))),"")</f>
        <v/>
      </c>
      <c r="K23" s="29">
        <f>IFERROR(IF(F23&gt;=参数配置!$C$18,-(H23),IF(F23&gt;=参数配置!$C$17,-((H23-C23)*参数配置!$D$17),IF(F23&gt;=参数配置!$C$16,-((H23-C23)*参数配置!$D$16),IF(F23&gt;=参数配置!$C$15,-((H23-C23)*参数配置!$D$15),IF(F23&lt;=参数配置!$C$23,I23+参数配置!$C$8*参数配置!$D$23,IF(F23&lt;=参数配置!$C$22,I23+参数配置!$C$8*参数配置!$D$22,IF(F23&lt;=参数配置!$C$21,I23+参数配置!$C$8*参数配置!$D$21,I23))))))),"")</f>
        <v/>
      </c>
      <c r="L23" s="17" t="n"/>
      <c r="M23" s="26" t="n"/>
      <c r="N23" s="30">
        <f>IFERROR(G23+M23,"")</f>
        <v/>
      </c>
      <c r="O23" s="7">
        <f>IFERROR(O22+L23,"")</f>
        <v/>
      </c>
      <c r="P23" s="7">
        <f>IFERROR(-L23,"")</f>
        <v/>
      </c>
      <c r="Q23" s="31" t="n"/>
    </row>
    <row r="24">
      <c r="A24" s="16" t="n"/>
      <c r="B24" s="15" t="n"/>
      <c r="C24" s="7">
        <f>IFERROR(参数配置!$C$8*B24,"")</f>
        <v/>
      </c>
      <c r="D24" s="26" t="n"/>
      <c r="E24" s="26" t="n"/>
      <c r="F24" s="27">
        <f>IFERROR((D24-E24)/E24,"")</f>
        <v/>
      </c>
      <c r="G24" s="26" t="n"/>
      <c r="H24" s="7">
        <f>IFERROR(G24*D24,"")</f>
        <v/>
      </c>
      <c r="I24" s="7">
        <f>IFERROR(IF(F24&gt;=参数配置!$C$18,0,IF(F24&lt;=参数配置!$C$21,MAX(0,MIN(C24-H24,参数配置!$C$8*参数配置!$C$13)),MAX(0,MIN(C24-H24,参数配置!$C$8*参数配置!$C$12)))),"")</f>
        <v/>
      </c>
      <c r="J24" s="28">
        <f>IFERROR(IF(F24&gt;=参数配置!$C$18,"极端清仓",IF(F24&gt;=参数配置!$C$17,"三档收割",IF(F24&gt;=参数配置!$C$16,"二档收割",IF(F24&gt;=参数配置!$C$15,"一档收割",IF(F24&lt;=参数配置!$C$23,"三档加码",IF(F24&lt;=参数配置!$C$22,"二档加码",IF(F24&lt;=参数配置!$C$21,"一档加码","正常定投"))))))),"")</f>
        <v/>
      </c>
      <c r="K24" s="29">
        <f>IFERROR(IF(F24&gt;=参数配置!$C$18,-(H24),IF(F24&gt;=参数配置!$C$17,-((H24-C24)*参数配置!$D$17),IF(F24&gt;=参数配置!$C$16,-((H24-C24)*参数配置!$D$16),IF(F24&gt;=参数配置!$C$15,-((H24-C24)*参数配置!$D$15),IF(F24&lt;=参数配置!$C$23,I24+参数配置!$C$8*参数配置!$D$23,IF(F24&lt;=参数配置!$C$22,I24+参数配置!$C$8*参数配置!$D$22,IF(F24&lt;=参数配置!$C$21,I24+参数配置!$C$8*参数配置!$D$21,I24))))))),"")</f>
        <v/>
      </c>
      <c r="L24" s="17" t="n"/>
      <c r="M24" s="26" t="n"/>
      <c r="N24" s="30">
        <f>IFERROR(G24+M24,"")</f>
        <v/>
      </c>
      <c r="O24" s="7">
        <f>IFERROR(O23+L24,"")</f>
        <v/>
      </c>
      <c r="P24" s="7">
        <f>IFERROR(-L24,"")</f>
        <v/>
      </c>
      <c r="Q24" s="31" t="n"/>
    </row>
    <row r="25">
      <c r="A25" s="16" t="n"/>
      <c r="B25" s="15" t="n"/>
      <c r="C25" s="7">
        <f>IFERROR(参数配置!$C$8*B25,"")</f>
        <v/>
      </c>
      <c r="D25" s="26" t="n"/>
      <c r="E25" s="26" t="n"/>
      <c r="F25" s="27">
        <f>IFERROR((D25-E25)/E25,"")</f>
        <v/>
      </c>
      <c r="G25" s="26" t="n"/>
      <c r="H25" s="7">
        <f>IFERROR(G25*D25,"")</f>
        <v/>
      </c>
      <c r="I25" s="7">
        <f>IFERROR(IF(F25&gt;=参数配置!$C$18,0,IF(F25&lt;=参数配置!$C$21,MAX(0,MIN(C25-H25,参数配置!$C$8*参数配置!$C$13)),MAX(0,MIN(C25-H25,参数配置!$C$8*参数配置!$C$12)))),"")</f>
        <v/>
      </c>
      <c r="J25" s="28">
        <f>IFERROR(IF(F25&gt;=参数配置!$C$18,"极端清仓",IF(F25&gt;=参数配置!$C$17,"三档收割",IF(F25&gt;=参数配置!$C$16,"二档收割",IF(F25&gt;=参数配置!$C$15,"一档收割",IF(F25&lt;=参数配置!$C$23,"三档加码",IF(F25&lt;=参数配置!$C$22,"二档加码",IF(F25&lt;=参数配置!$C$21,"一档加码","正常定投"))))))),"")</f>
        <v/>
      </c>
      <c r="K25" s="29">
        <f>IFERROR(IF(F25&gt;=参数配置!$C$18,-(H25),IF(F25&gt;=参数配置!$C$17,-((H25-C25)*参数配置!$D$17),IF(F25&gt;=参数配置!$C$16,-((H25-C25)*参数配置!$D$16),IF(F25&gt;=参数配置!$C$15,-((H25-C25)*参数配置!$D$15),IF(F25&lt;=参数配置!$C$23,I25+参数配置!$C$8*参数配置!$D$23,IF(F25&lt;=参数配置!$C$22,I25+参数配置!$C$8*参数配置!$D$22,IF(F25&lt;=参数配置!$C$21,I25+参数配置!$C$8*参数配置!$D$21,I25))))))),"")</f>
        <v/>
      </c>
      <c r="L25" s="17" t="n"/>
      <c r="M25" s="26" t="n"/>
      <c r="N25" s="30">
        <f>IFERROR(G25+M25,"")</f>
        <v/>
      </c>
      <c r="O25" s="7">
        <f>IFERROR(O24+L25,"")</f>
        <v/>
      </c>
      <c r="P25" s="7">
        <f>IFERROR(-L25,"")</f>
        <v/>
      </c>
      <c r="Q25" s="31" t="n"/>
    </row>
    <row r="26">
      <c r="A26" s="16" t="n"/>
      <c r="B26" s="15" t="n"/>
      <c r="C26" s="7">
        <f>IFERROR(参数配置!$C$8*B26,"")</f>
        <v/>
      </c>
      <c r="D26" s="26" t="n"/>
      <c r="E26" s="26" t="n"/>
      <c r="F26" s="27">
        <f>IFERROR((D26-E26)/E26,"")</f>
        <v/>
      </c>
      <c r="G26" s="26" t="n"/>
      <c r="H26" s="7">
        <f>IFERROR(G26*D26,"")</f>
        <v/>
      </c>
      <c r="I26" s="7">
        <f>IFERROR(IF(F26&gt;=参数配置!$C$18,0,IF(F26&lt;=参数配置!$C$21,MAX(0,MIN(C26-H26,参数配置!$C$8*参数配置!$C$13)),MAX(0,MIN(C26-H26,参数配置!$C$8*参数配置!$C$12)))),"")</f>
        <v/>
      </c>
      <c r="J26" s="28">
        <f>IFERROR(IF(F26&gt;=参数配置!$C$18,"极端清仓",IF(F26&gt;=参数配置!$C$17,"三档收割",IF(F26&gt;=参数配置!$C$16,"二档收割",IF(F26&gt;=参数配置!$C$15,"一档收割",IF(F26&lt;=参数配置!$C$23,"三档加码",IF(F26&lt;=参数配置!$C$22,"二档加码",IF(F26&lt;=参数配置!$C$21,"一档加码","正常定投"))))))),"")</f>
        <v/>
      </c>
      <c r="K26" s="29">
        <f>IFERROR(IF(F26&gt;=参数配置!$C$18,-(H26),IF(F26&gt;=参数配置!$C$17,-((H26-C26)*参数配置!$D$17),IF(F26&gt;=参数配置!$C$16,-((H26-C26)*参数配置!$D$16),IF(F26&gt;=参数配置!$C$15,-((H26-C26)*参数配置!$D$15),IF(F26&lt;=参数配置!$C$23,I26+参数配置!$C$8*参数配置!$D$23,IF(F26&lt;=参数配置!$C$22,I26+参数配置!$C$8*参数配置!$D$22,IF(F26&lt;=参数配置!$C$21,I26+参数配置!$C$8*参数配置!$D$21,I26))))))),"")</f>
        <v/>
      </c>
      <c r="L26" s="17" t="n"/>
      <c r="M26" s="26" t="n"/>
      <c r="N26" s="30">
        <f>IFERROR(G26+M26,"")</f>
        <v/>
      </c>
      <c r="O26" s="7">
        <f>IFERROR(O25+L26,"")</f>
        <v/>
      </c>
      <c r="P26" s="7">
        <f>IFERROR(-L26,"")</f>
        <v/>
      </c>
      <c r="Q26" s="31" t="n"/>
    </row>
    <row r="27">
      <c r="A27" s="16" t="n"/>
      <c r="B27" s="15" t="n"/>
      <c r="C27" s="7">
        <f>IFERROR(参数配置!$C$8*B27,"")</f>
        <v/>
      </c>
      <c r="D27" s="26" t="n"/>
      <c r="E27" s="26" t="n"/>
      <c r="F27" s="27">
        <f>IFERROR((D27-E27)/E27,"")</f>
        <v/>
      </c>
      <c r="G27" s="26" t="n"/>
      <c r="H27" s="7">
        <f>IFERROR(G27*D27,"")</f>
        <v/>
      </c>
      <c r="I27" s="7">
        <f>IFERROR(IF(F27&gt;=参数配置!$C$18,0,IF(F27&lt;=参数配置!$C$21,MAX(0,MIN(C27-H27,参数配置!$C$8*参数配置!$C$13)),MAX(0,MIN(C27-H27,参数配置!$C$8*参数配置!$C$12)))),"")</f>
        <v/>
      </c>
      <c r="J27" s="28">
        <f>IFERROR(IF(F27&gt;=参数配置!$C$18,"极端清仓",IF(F27&gt;=参数配置!$C$17,"三档收割",IF(F27&gt;=参数配置!$C$16,"二档收割",IF(F27&gt;=参数配置!$C$15,"一档收割",IF(F27&lt;=参数配置!$C$23,"三档加码",IF(F27&lt;=参数配置!$C$22,"二档加码",IF(F27&lt;=参数配置!$C$21,"一档加码","正常定投"))))))),"")</f>
        <v/>
      </c>
      <c r="K27" s="29">
        <f>IFERROR(IF(F27&gt;=参数配置!$C$18,-(H27),IF(F27&gt;=参数配置!$C$17,-((H27-C27)*参数配置!$D$17),IF(F27&gt;=参数配置!$C$16,-((H27-C27)*参数配置!$D$16),IF(F27&gt;=参数配置!$C$15,-((H27-C27)*参数配置!$D$15),IF(F27&lt;=参数配置!$C$23,I27+参数配置!$C$8*参数配置!$D$23,IF(F27&lt;=参数配置!$C$22,I27+参数配置!$C$8*参数配置!$D$22,IF(F27&lt;=参数配置!$C$21,I27+参数配置!$C$8*参数配置!$D$21,I27))))))),"")</f>
        <v/>
      </c>
      <c r="L27" s="17" t="n"/>
      <c r="M27" s="26" t="n"/>
      <c r="N27" s="30">
        <f>IFERROR(G27+M27,"")</f>
        <v/>
      </c>
      <c r="O27" s="7">
        <f>IFERROR(O26+L27,"")</f>
        <v/>
      </c>
      <c r="P27" s="7">
        <f>IFERROR(-L27,"")</f>
        <v/>
      </c>
      <c r="Q27" s="31" t="n"/>
    </row>
    <row r="28">
      <c r="A28" s="16" t="n"/>
      <c r="B28" s="15" t="n"/>
      <c r="C28" s="7">
        <f>IFERROR(参数配置!$C$8*B28,"")</f>
        <v/>
      </c>
      <c r="D28" s="26" t="n"/>
      <c r="E28" s="26" t="n"/>
      <c r="F28" s="27">
        <f>IFERROR((D28-E28)/E28,"")</f>
        <v/>
      </c>
      <c r="G28" s="26" t="n"/>
      <c r="H28" s="7">
        <f>IFERROR(G28*D28,"")</f>
        <v/>
      </c>
      <c r="I28" s="7">
        <f>IFERROR(IF(F28&gt;=参数配置!$C$18,0,IF(F28&lt;=参数配置!$C$21,MAX(0,MIN(C28-H28,参数配置!$C$8*参数配置!$C$13)),MAX(0,MIN(C28-H28,参数配置!$C$8*参数配置!$C$12)))),"")</f>
        <v/>
      </c>
      <c r="J28" s="28">
        <f>IFERROR(IF(F28&gt;=参数配置!$C$18,"极端清仓",IF(F28&gt;=参数配置!$C$17,"三档收割",IF(F28&gt;=参数配置!$C$16,"二档收割",IF(F28&gt;=参数配置!$C$15,"一档收割",IF(F28&lt;=参数配置!$C$23,"三档加码",IF(F28&lt;=参数配置!$C$22,"二档加码",IF(F28&lt;=参数配置!$C$21,"一档加码","正常定投"))))))),"")</f>
        <v/>
      </c>
      <c r="K28" s="29">
        <f>IFERROR(IF(F28&gt;=参数配置!$C$18,-(H28),IF(F28&gt;=参数配置!$C$17,-((H28-C28)*参数配置!$D$17),IF(F28&gt;=参数配置!$C$16,-((H28-C28)*参数配置!$D$16),IF(F28&gt;=参数配置!$C$15,-((H28-C28)*参数配置!$D$15),IF(F28&lt;=参数配置!$C$23,I28+参数配置!$C$8*参数配置!$D$23,IF(F28&lt;=参数配置!$C$22,I28+参数配置!$C$8*参数配置!$D$22,IF(F28&lt;=参数配置!$C$21,I28+参数配置!$C$8*参数配置!$D$21,I28))))))),"")</f>
        <v/>
      </c>
      <c r="L28" s="17" t="n"/>
      <c r="M28" s="26" t="n"/>
      <c r="N28" s="30">
        <f>IFERROR(G28+M28,"")</f>
        <v/>
      </c>
      <c r="O28" s="7">
        <f>IFERROR(O27+L28,"")</f>
        <v/>
      </c>
      <c r="P28" s="7">
        <f>IFERROR(-L28,"")</f>
        <v/>
      </c>
      <c r="Q28" s="31" t="n"/>
    </row>
    <row r="29">
      <c r="A29" s="16" t="n"/>
      <c r="B29" s="15" t="n"/>
      <c r="C29" s="7">
        <f>IFERROR(参数配置!$C$8*B29,"")</f>
        <v/>
      </c>
      <c r="D29" s="26" t="n"/>
      <c r="E29" s="26" t="n"/>
      <c r="F29" s="27">
        <f>IFERROR((D29-E29)/E29,"")</f>
        <v/>
      </c>
      <c r="G29" s="26" t="n"/>
      <c r="H29" s="7">
        <f>IFERROR(G29*D29,"")</f>
        <v/>
      </c>
      <c r="I29" s="7">
        <f>IFERROR(IF(F29&gt;=参数配置!$C$18,0,IF(F29&lt;=参数配置!$C$21,MAX(0,MIN(C29-H29,参数配置!$C$8*参数配置!$C$13)),MAX(0,MIN(C29-H29,参数配置!$C$8*参数配置!$C$12)))),"")</f>
        <v/>
      </c>
      <c r="J29" s="28">
        <f>IFERROR(IF(F29&gt;=参数配置!$C$18,"极端清仓",IF(F29&gt;=参数配置!$C$17,"三档收割",IF(F29&gt;=参数配置!$C$16,"二档收割",IF(F29&gt;=参数配置!$C$15,"一档收割",IF(F29&lt;=参数配置!$C$23,"三档加码",IF(F29&lt;=参数配置!$C$22,"二档加码",IF(F29&lt;=参数配置!$C$21,"一档加码","正常定投"))))))),"")</f>
        <v/>
      </c>
      <c r="K29" s="29">
        <f>IFERROR(IF(F29&gt;=参数配置!$C$18,-(H29),IF(F29&gt;=参数配置!$C$17,-((H29-C29)*参数配置!$D$17),IF(F29&gt;=参数配置!$C$16,-((H29-C29)*参数配置!$D$16),IF(F29&gt;=参数配置!$C$15,-((H29-C29)*参数配置!$D$15),IF(F29&lt;=参数配置!$C$23,I29+参数配置!$C$8*参数配置!$D$23,IF(F29&lt;=参数配置!$C$22,I29+参数配置!$C$8*参数配置!$D$22,IF(F29&lt;=参数配置!$C$21,I29+参数配置!$C$8*参数配置!$D$21,I29))))))),"")</f>
        <v/>
      </c>
      <c r="L29" s="17" t="n"/>
      <c r="M29" s="26" t="n"/>
      <c r="N29" s="30">
        <f>IFERROR(G29+M29,"")</f>
        <v/>
      </c>
      <c r="O29" s="7">
        <f>IFERROR(O28+L29,"")</f>
        <v/>
      </c>
      <c r="P29" s="7">
        <f>IFERROR(-L29,"")</f>
        <v/>
      </c>
      <c r="Q29" s="31" t="n"/>
    </row>
    <row r="30">
      <c r="A30" s="16" t="n"/>
      <c r="B30" s="15" t="n"/>
      <c r="C30" s="7">
        <f>IFERROR(参数配置!$C$8*B30,"")</f>
        <v/>
      </c>
      <c r="D30" s="26" t="n"/>
      <c r="E30" s="26" t="n"/>
      <c r="F30" s="27">
        <f>IFERROR((D30-E30)/E30,"")</f>
        <v/>
      </c>
      <c r="G30" s="26" t="n"/>
      <c r="H30" s="7">
        <f>IFERROR(G30*D30,"")</f>
        <v/>
      </c>
      <c r="I30" s="7">
        <f>IFERROR(IF(F30&gt;=参数配置!$C$18,0,IF(F30&lt;=参数配置!$C$21,MAX(0,MIN(C30-H30,参数配置!$C$8*参数配置!$C$13)),MAX(0,MIN(C30-H30,参数配置!$C$8*参数配置!$C$12)))),"")</f>
        <v/>
      </c>
      <c r="J30" s="28">
        <f>IFERROR(IF(F30&gt;=参数配置!$C$18,"极端清仓",IF(F30&gt;=参数配置!$C$17,"三档收割",IF(F30&gt;=参数配置!$C$16,"二档收割",IF(F30&gt;=参数配置!$C$15,"一档收割",IF(F30&lt;=参数配置!$C$23,"三档加码",IF(F30&lt;=参数配置!$C$22,"二档加码",IF(F30&lt;=参数配置!$C$21,"一档加码","正常定投"))))))),"")</f>
        <v/>
      </c>
      <c r="K30" s="29">
        <f>IFERROR(IF(F30&gt;=参数配置!$C$18,-(H30),IF(F30&gt;=参数配置!$C$17,-((H30-C30)*参数配置!$D$17),IF(F30&gt;=参数配置!$C$16,-((H30-C30)*参数配置!$D$16),IF(F30&gt;=参数配置!$C$15,-((H30-C30)*参数配置!$D$15),IF(F30&lt;=参数配置!$C$23,I30+参数配置!$C$8*参数配置!$D$23,IF(F30&lt;=参数配置!$C$22,I30+参数配置!$C$8*参数配置!$D$22,IF(F30&lt;=参数配置!$C$21,I30+参数配置!$C$8*参数配置!$D$21,I30))))))),"")</f>
        <v/>
      </c>
      <c r="L30" s="17" t="n"/>
      <c r="M30" s="26" t="n"/>
      <c r="N30" s="30">
        <f>IFERROR(G30+M30,"")</f>
        <v/>
      </c>
      <c r="O30" s="7">
        <f>IFERROR(O29+L30,"")</f>
        <v/>
      </c>
      <c r="P30" s="7">
        <f>IFERROR(-L30,"")</f>
        <v/>
      </c>
      <c r="Q30" s="31" t="n"/>
    </row>
    <row r="31">
      <c r="A31" s="16" t="n"/>
      <c r="B31" s="15" t="n"/>
      <c r="C31" s="7">
        <f>IFERROR(参数配置!$C$8*B31,"")</f>
        <v/>
      </c>
      <c r="D31" s="26" t="n"/>
      <c r="E31" s="26" t="n"/>
      <c r="F31" s="27">
        <f>IFERROR((D31-E31)/E31,"")</f>
        <v/>
      </c>
      <c r="G31" s="26" t="n"/>
      <c r="H31" s="7">
        <f>IFERROR(G31*D31,"")</f>
        <v/>
      </c>
      <c r="I31" s="7">
        <f>IFERROR(IF(F31&gt;=参数配置!$C$18,0,IF(F31&lt;=参数配置!$C$21,MAX(0,MIN(C31-H31,参数配置!$C$8*参数配置!$C$13)),MAX(0,MIN(C31-H31,参数配置!$C$8*参数配置!$C$12)))),"")</f>
        <v/>
      </c>
      <c r="J31" s="28">
        <f>IFERROR(IF(F31&gt;=参数配置!$C$18,"极端清仓",IF(F31&gt;=参数配置!$C$17,"三档收割",IF(F31&gt;=参数配置!$C$16,"二档收割",IF(F31&gt;=参数配置!$C$15,"一档收割",IF(F31&lt;=参数配置!$C$23,"三档加码",IF(F31&lt;=参数配置!$C$22,"二档加码",IF(F31&lt;=参数配置!$C$21,"一档加码","正常定投"))))))),"")</f>
        <v/>
      </c>
      <c r="K31" s="29">
        <f>IFERROR(IF(F31&gt;=参数配置!$C$18,-(H31),IF(F31&gt;=参数配置!$C$17,-((H31-C31)*参数配置!$D$17),IF(F31&gt;=参数配置!$C$16,-((H31-C31)*参数配置!$D$16),IF(F31&gt;=参数配置!$C$15,-((H31-C31)*参数配置!$D$15),IF(F31&lt;=参数配置!$C$23,I31+参数配置!$C$8*参数配置!$D$23,IF(F31&lt;=参数配置!$C$22,I31+参数配置!$C$8*参数配置!$D$22,IF(F31&lt;=参数配置!$C$21,I31+参数配置!$C$8*参数配置!$D$21,I31))))))),"")</f>
        <v/>
      </c>
      <c r="L31" s="17" t="n"/>
      <c r="M31" s="26" t="n"/>
      <c r="N31" s="30">
        <f>IFERROR(G31+M31,"")</f>
        <v/>
      </c>
      <c r="O31" s="7">
        <f>IFERROR(O30+L31,"")</f>
        <v/>
      </c>
      <c r="P31" s="7">
        <f>IFERROR(-L31,"")</f>
        <v/>
      </c>
      <c r="Q31" s="31" t="n"/>
    </row>
    <row r="32">
      <c r="A32" s="16" t="n"/>
      <c r="B32" s="15" t="n"/>
      <c r="C32" s="7">
        <f>IFERROR(参数配置!$C$8*B32,"")</f>
        <v/>
      </c>
      <c r="D32" s="26" t="n"/>
      <c r="E32" s="26" t="n"/>
      <c r="F32" s="27">
        <f>IFERROR((D32-E32)/E32,"")</f>
        <v/>
      </c>
      <c r="G32" s="26" t="n"/>
      <c r="H32" s="7">
        <f>IFERROR(G32*D32,"")</f>
        <v/>
      </c>
      <c r="I32" s="7">
        <f>IFERROR(IF(F32&gt;=参数配置!$C$18,0,IF(F32&lt;=参数配置!$C$21,MAX(0,MIN(C32-H32,参数配置!$C$8*参数配置!$C$13)),MAX(0,MIN(C32-H32,参数配置!$C$8*参数配置!$C$12)))),"")</f>
        <v/>
      </c>
      <c r="J32" s="28">
        <f>IFERROR(IF(F32&gt;=参数配置!$C$18,"极端清仓",IF(F32&gt;=参数配置!$C$17,"三档收割",IF(F32&gt;=参数配置!$C$16,"二档收割",IF(F32&gt;=参数配置!$C$15,"一档收割",IF(F32&lt;=参数配置!$C$23,"三档加码",IF(F32&lt;=参数配置!$C$22,"二档加码",IF(F32&lt;=参数配置!$C$21,"一档加码","正常定投"))))))),"")</f>
        <v/>
      </c>
      <c r="K32" s="29">
        <f>IFERROR(IF(F32&gt;=参数配置!$C$18,-(H32),IF(F32&gt;=参数配置!$C$17,-((H32-C32)*参数配置!$D$17),IF(F32&gt;=参数配置!$C$16,-((H32-C32)*参数配置!$D$16),IF(F32&gt;=参数配置!$C$15,-((H32-C32)*参数配置!$D$15),IF(F32&lt;=参数配置!$C$23,I32+参数配置!$C$8*参数配置!$D$23,IF(F32&lt;=参数配置!$C$22,I32+参数配置!$C$8*参数配置!$D$22,IF(F32&lt;=参数配置!$C$21,I32+参数配置!$C$8*参数配置!$D$21,I32))))))),"")</f>
        <v/>
      </c>
      <c r="L32" s="17" t="n"/>
      <c r="M32" s="26" t="n"/>
      <c r="N32" s="30">
        <f>IFERROR(G32+M32,"")</f>
        <v/>
      </c>
      <c r="O32" s="7">
        <f>IFERROR(O31+L32,"")</f>
        <v/>
      </c>
      <c r="P32" s="7">
        <f>IFERROR(-L32,"")</f>
        <v/>
      </c>
      <c r="Q32" s="31" t="n"/>
    </row>
    <row r="33">
      <c r="A33" s="16" t="n"/>
      <c r="B33" s="15" t="n"/>
      <c r="C33" s="7">
        <f>IFERROR(参数配置!$C$8*B33,"")</f>
        <v/>
      </c>
      <c r="D33" s="26" t="n"/>
      <c r="E33" s="26" t="n"/>
      <c r="F33" s="27">
        <f>IFERROR((D33-E33)/E33,"")</f>
        <v/>
      </c>
      <c r="G33" s="26" t="n"/>
      <c r="H33" s="7">
        <f>IFERROR(G33*D33,"")</f>
        <v/>
      </c>
      <c r="I33" s="7">
        <f>IFERROR(IF(F33&gt;=参数配置!$C$18,0,IF(F33&lt;=参数配置!$C$21,MAX(0,MIN(C33-H33,参数配置!$C$8*参数配置!$C$13)),MAX(0,MIN(C33-H33,参数配置!$C$8*参数配置!$C$12)))),"")</f>
        <v/>
      </c>
      <c r="J33" s="28">
        <f>IFERROR(IF(F33&gt;=参数配置!$C$18,"极端清仓",IF(F33&gt;=参数配置!$C$17,"三档收割",IF(F33&gt;=参数配置!$C$16,"二档收割",IF(F33&gt;=参数配置!$C$15,"一档收割",IF(F33&lt;=参数配置!$C$23,"三档加码",IF(F33&lt;=参数配置!$C$22,"二档加码",IF(F33&lt;=参数配置!$C$21,"一档加码","正常定投"))))))),"")</f>
        <v/>
      </c>
      <c r="K33" s="29">
        <f>IFERROR(IF(F33&gt;=参数配置!$C$18,-(H33),IF(F33&gt;=参数配置!$C$17,-((H33-C33)*参数配置!$D$17),IF(F33&gt;=参数配置!$C$16,-((H33-C33)*参数配置!$D$16),IF(F33&gt;=参数配置!$C$15,-((H33-C33)*参数配置!$D$15),IF(F33&lt;=参数配置!$C$23,I33+参数配置!$C$8*参数配置!$D$23,IF(F33&lt;=参数配置!$C$22,I33+参数配置!$C$8*参数配置!$D$22,IF(F33&lt;=参数配置!$C$21,I33+参数配置!$C$8*参数配置!$D$21,I33))))))),"")</f>
        <v/>
      </c>
      <c r="L33" s="17" t="n"/>
      <c r="M33" s="26" t="n"/>
      <c r="N33" s="30">
        <f>IFERROR(G33+M33,"")</f>
        <v/>
      </c>
      <c r="O33" s="7">
        <f>IFERROR(O32+L33,"")</f>
        <v/>
      </c>
      <c r="P33" s="7">
        <f>IFERROR(-L33,"")</f>
        <v/>
      </c>
      <c r="Q33" s="31" t="n"/>
    </row>
    <row r="34">
      <c r="A34" s="16" t="n"/>
      <c r="B34" s="15" t="n"/>
      <c r="C34" s="7">
        <f>IFERROR(参数配置!$C$8*B34,"")</f>
        <v/>
      </c>
      <c r="D34" s="26" t="n"/>
      <c r="E34" s="26" t="n"/>
      <c r="F34" s="27">
        <f>IFERROR((D34-E34)/E34,"")</f>
        <v/>
      </c>
      <c r="G34" s="26" t="n"/>
      <c r="H34" s="7">
        <f>IFERROR(G34*D34,"")</f>
        <v/>
      </c>
      <c r="I34" s="7">
        <f>IFERROR(IF(F34&gt;=参数配置!$C$18,0,IF(F34&lt;=参数配置!$C$21,MAX(0,MIN(C34-H34,参数配置!$C$8*参数配置!$C$13)),MAX(0,MIN(C34-H34,参数配置!$C$8*参数配置!$C$12)))),"")</f>
        <v/>
      </c>
      <c r="J34" s="28">
        <f>IFERROR(IF(F34&gt;=参数配置!$C$18,"极端清仓",IF(F34&gt;=参数配置!$C$17,"三档收割",IF(F34&gt;=参数配置!$C$16,"二档收割",IF(F34&gt;=参数配置!$C$15,"一档收割",IF(F34&lt;=参数配置!$C$23,"三档加码",IF(F34&lt;=参数配置!$C$22,"二档加码",IF(F34&lt;=参数配置!$C$21,"一档加码","正常定投"))))))),"")</f>
        <v/>
      </c>
      <c r="K34" s="29">
        <f>IFERROR(IF(F34&gt;=参数配置!$C$18,-(H34),IF(F34&gt;=参数配置!$C$17,-((H34-C34)*参数配置!$D$17),IF(F34&gt;=参数配置!$C$16,-((H34-C34)*参数配置!$D$16),IF(F34&gt;=参数配置!$C$15,-((H34-C34)*参数配置!$D$15),IF(F34&lt;=参数配置!$C$23,I34+参数配置!$C$8*参数配置!$D$23,IF(F34&lt;=参数配置!$C$22,I34+参数配置!$C$8*参数配置!$D$22,IF(F34&lt;=参数配置!$C$21,I34+参数配置!$C$8*参数配置!$D$21,I34))))))),"")</f>
        <v/>
      </c>
      <c r="L34" s="17" t="n"/>
      <c r="M34" s="26" t="n"/>
      <c r="N34" s="30">
        <f>IFERROR(G34+M34,"")</f>
        <v/>
      </c>
      <c r="O34" s="7">
        <f>IFERROR(O33+L34,"")</f>
        <v/>
      </c>
      <c r="P34" s="7">
        <f>IFERROR(-L34,"")</f>
        <v/>
      </c>
      <c r="Q34" s="31" t="n"/>
    </row>
    <row r="35">
      <c r="A35" s="16" t="n"/>
      <c r="B35" s="15" t="n"/>
      <c r="C35" s="7">
        <f>IFERROR(参数配置!$C$8*B35,"")</f>
        <v/>
      </c>
      <c r="D35" s="26" t="n"/>
      <c r="E35" s="26" t="n"/>
      <c r="F35" s="27">
        <f>IFERROR((D35-E35)/E35,"")</f>
        <v/>
      </c>
      <c r="G35" s="26" t="n"/>
      <c r="H35" s="7">
        <f>IFERROR(G35*D35,"")</f>
        <v/>
      </c>
      <c r="I35" s="7">
        <f>IFERROR(IF(F35&gt;=参数配置!$C$18,0,IF(F35&lt;=参数配置!$C$21,MAX(0,MIN(C35-H35,参数配置!$C$8*参数配置!$C$13)),MAX(0,MIN(C35-H35,参数配置!$C$8*参数配置!$C$12)))),"")</f>
        <v/>
      </c>
      <c r="J35" s="28">
        <f>IFERROR(IF(F35&gt;=参数配置!$C$18,"极端清仓",IF(F35&gt;=参数配置!$C$17,"三档收割",IF(F35&gt;=参数配置!$C$16,"二档收割",IF(F35&gt;=参数配置!$C$15,"一档收割",IF(F35&lt;=参数配置!$C$23,"三档加码",IF(F35&lt;=参数配置!$C$22,"二档加码",IF(F35&lt;=参数配置!$C$21,"一档加码","正常定投"))))))),"")</f>
        <v/>
      </c>
      <c r="K35" s="29">
        <f>IFERROR(IF(F35&gt;=参数配置!$C$18,-(H35),IF(F35&gt;=参数配置!$C$17,-((H35-C35)*参数配置!$D$17),IF(F35&gt;=参数配置!$C$16,-((H35-C35)*参数配置!$D$16),IF(F35&gt;=参数配置!$C$15,-((H35-C35)*参数配置!$D$15),IF(F35&lt;=参数配置!$C$23,I35+参数配置!$C$8*参数配置!$D$23,IF(F35&lt;=参数配置!$C$22,I35+参数配置!$C$8*参数配置!$D$22,IF(F35&lt;=参数配置!$C$21,I35+参数配置!$C$8*参数配置!$D$21,I35))))))),"")</f>
        <v/>
      </c>
      <c r="L35" s="17" t="n"/>
      <c r="M35" s="26" t="n"/>
      <c r="N35" s="30">
        <f>IFERROR(G35+M35,"")</f>
        <v/>
      </c>
      <c r="O35" s="7">
        <f>IFERROR(O34+L35,"")</f>
        <v/>
      </c>
      <c r="P35" s="7">
        <f>IFERROR(-L35,"")</f>
        <v/>
      </c>
      <c r="Q35" s="31" t="n"/>
    </row>
    <row r="36">
      <c r="A36" s="16" t="n"/>
      <c r="B36" s="15" t="n"/>
      <c r="C36" s="7">
        <f>IFERROR(参数配置!$C$8*B36,"")</f>
        <v/>
      </c>
      <c r="D36" s="26" t="n"/>
      <c r="E36" s="26" t="n"/>
      <c r="F36" s="27">
        <f>IFERROR((D36-E36)/E36,"")</f>
        <v/>
      </c>
      <c r="G36" s="26" t="n"/>
      <c r="H36" s="7">
        <f>IFERROR(G36*D36,"")</f>
        <v/>
      </c>
      <c r="I36" s="7">
        <f>IFERROR(IF(F36&gt;=参数配置!$C$18,0,IF(F36&lt;=参数配置!$C$21,MAX(0,MIN(C36-H36,参数配置!$C$8*参数配置!$C$13)),MAX(0,MIN(C36-H36,参数配置!$C$8*参数配置!$C$12)))),"")</f>
        <v/>
      </c>
      <c r="J36" s="28">
        <f>IFERROR(IF(F36&gt;=参数配置!$C$18,"极端清仓",IF(F36&gt;=参数配置!$C$17,"三档收割",IF(F36&gt;=参数配置!$C$16,"二档收割",IF(F36&gt;=参数配置!$C$15,"一档收割",IF(F36&lt;=参数配置!$C$23,"三档加码",IF(F36&lt;=参数配置!$C$22,"二档加码",IF(F36&lt;=参数配置!$C$21,"一档加码","正常定投"))))))),"")</f>
        <v/>
      </c>
      <c r="K36" s="29">
        <f>IFERROR(IF(F36&gt;=参数配置!$C$18,-(H36),IF(F36&gt;=参数配置!$C$17,-((H36-C36)*参数配置!$D$17),IF(F36&gt;=参数配置!$C$16,-((H36-C36)*参数配置!$D$16),IF(F36&gt;=参数配置!$C$15,-((H36-C36)*参数配置!$D$15),IF(F36&lt;=参数配置!$C$23,I36+参数配置!$C$8*参数配置!$D$23,IF(F36&lt;=参数配置!$C$22,I36+参数配置!$C$8*参数配置!$D$22,IF(F36&lt;=参数配置!$C$21,I36+参数配置!$C$8*参数配置!$D$21,I36))))))),"")</f>
        <v/>
      </c>
      <c r="L36" s="17" t="n"/>
      <c r="M36" s="26" t="n"/>
      <c r="N36" s="30">
        <f>IFERROR(G36+M36,"")</f>
        <v/>
      </c>
      <c r="O36" s="7">
        <f>IFERROR(O35+L36,"")</f>
        <v/>
      </c>
      <c r="P36" s="7">
        <f>IFERROR(-L36,"")</f>
        <v/>
      </c>
      <c r="Q36" s="31" t="n"/>
    </row>
    <row r="37">
      <c r="A37" s="16" t="n"/>
      <c r="B37" s="15" t="n"/>
      <c r="C37" s="7">
        <f>IFERROR(参数配置!$C$8*B37,"")</f>
        <v/>
      </c>
      <c r="D37" s="26" t="n"/>
      <c r="E37" s="26" t="n"/>
      <c r="F37" s="27">
        <f>IFERROR((D37-E37)/E37,"")</f>
        <v/>
      </c>
      <c r="G37" s="26" t="n"/>
      <c r="H37" s="7">
        <f>IFERROR(G37*D37,"")</f>
        <v/>
      </c>
      <c r="I37" s="7">
        <f>IFERROR(IF(F37&gt;=参数配置!$C$18,0,IF(F37&lt;=参数配置!$C$21,MAX(0,MIN(C37-H37,参数配置!$C$8*参数配置!$C$13)),MAX(0,MIN(C37-H37,参数配置!$C$8*参数配置!$C$12)))),"")</f>
        <v/>
      </c>
      <c r="J37" s="28">
        <f>IFERROR(IF(F37&gt;=参数配置!$C$18,"极端清仓",IF(F37&gt;=参数配置!$C$17,"三档收割",IF(F37&gt;=参数配置!$C$16,"二档收割",IF(F37&gt;=参数配置!$C$15,"一档收割",IF(F37&lt;=参数配置!$C$23,"三档加码",IF(F37&lt;=参数配置!$C$22,"二档加码",IF(F37&lt;=参数配置!$C$21,"一档加码","正常定投"))))))),"")</f>
        <v/>
      </c>
      <c r="K37" s="29">
        <f>IFERROR(IF(F37&gt;=参数配置!$C$18,-(H37),IF(F37&gt;=参数配置!$C$17,-((H37-C37)*参数配置!$D$17),IF(F37&gt;=参数配置!$C$16,-((H37-C37)*参数配置!$D$16),IF(F37&gt;=参数配置!$C$15,-((H37-C37)*参数配置!$D$15),IF(F37&lt;=参数配置!$C$23,I37+参数配置!$C$8*参数配置!$D$23,IF(F37&lt;=参数配置!$C$22,I37+参数配置!$C$8*参数配置!$D$22,IF(F37&lt;=参数配置!$C$21,I37+参数配置!$C$8*参数配置!$D$21,I37))))))),"")</f>
        <v/>
      </c>
      <c r="L37" s="17" t="n"/>
      <c r="M37" s="26" t="n"/>
      <c r="N37" s="30">
        <f>IFERROR(G37+M37,"")</f>
        <v/>
      </c>
      <c r="O37" s="7">
        <f>IFERROR(O36+L37,"")</f>
        <v/>
      </c>
      <c r="P37" s="7">
        <f>IFERROR(-L37,"")</f>
        <v/>
      </c>
      <c r="Q37" s="31" t="n"/>
    </row>
    <row r="38">
      <c r="A38" s="16" t="n"/>
      <c r="B38" s="15" t="n"/>
      <c r="C38" s="7">
        <f>IFERROR(参数配置!$C$8*B38,"")</f>
        <v/>
      </c>
      <c r="D38" s="26" t="n"/>
      <c r="E38" s="26" t="n"/>
      <c r="F38" s="27">
        <f>IFERROR((D38-E38)/E38,"")</f>
        <v/>
      </c>
      <c r="G38" s="26" t="n"/>
      <c r="H38" s="7">
        <f>IFERROR(G38*D38,"")</f>
        <v/>
      </c>
      <c r="I38" s="7">
        <f>IFERROR(IF(F38&gt;=参数配置!$C$18,0,IF(F38&lt;=参数配置!$C$21,MAX(0,MIN(C38-H38,参数配置!$C$8*参数配置!$C$13)),MAX(0,MIN(C38-H38,参数配置!$C$8*参数配置!$C$12)))),"")</f>
        <v/>
      </c>
      <c r="J38" s="28">
        <f>IFERROR(IF(F38&gt;=参数配置!$C$18,"极端清仓",IF(F38&gt;=参数配置!$C$17,"三档收割",IF(F38&gt;=参数配置!$C$16,"二档收割",IF(F38&gt;=参数配置!$C$15,"一档收割",IF(F38&lt;=参数配置!$C$23,"三档加码",IF(F38&lt;=参数配置!$C$22,"二档加码",IF(F38&lt;=参数配置!$C$21,"一档加码","正常定投"))))))),"")</f>
        <v/>
      </c>
      <c r="K38" s="29">
        <f>IFERROR(IF(F38&gt;=参数配置!$C$18,-(H38),IF(F38&gt;=参数配置!$C$17,-((H38-C38)*参数配置!$D$17),IF(F38&gt;=参数配置!$C$16,-((H38-C38)*参数配置!$D$16),IF(F38&gt;=参数配置!$C$15,-((H38-C38)*参数配置!$D$15),IF(F38&lt;=参数配置!$C$23,I38+参数配置!$C$8*参数配置!$D$23,IF(F38&lt;=参数配置!$C$22,I38+参数配置!$C$8*参数配置!$D$22,IF(F38&lt;=参数配置!$C$21,I38+参数配置!$C$8*参数配置!$D$21,I38))))))),"")</f>
        <v/>
      </c>
      <c r="L38" s="17" t="n"/>
      <c r="M38" s="26" t="n"/>
      <c r="N38" s="30">
        <f>IFERROR(G38+M38,"")</f>
        <v/>
      </c>
      <c r="O38" s="7">
        <f>IFERROR(O37+L38,"")</f>
        <v/>
      </c>
      <c r="P38" s="7">
        <f>IFERROR(-L38,"")</f>
        <v/>
      </c>
      <c r="Q38" s="31" t="n"/>
    </row>
    <row r="39">
      <c r="A39" s="16" t="n"/>
      <c r="B39" s="15" t="n"/>
      <c r="C39" s="7">
        <f>IFERROR(参数配置!$C$8*B39,"")</f>
        <v/>
      </c>
      <c r="D39" s="26" t="n"/>
      <c r="E39" s="26" t="n"/>
      <c r="F39" s="27">
        <f>IFERROR((D39-E39)/E39,"")</f>
        <v/>
      </c>
      <c r="G39" s="26" t="n"/>
      <c r="H39" s="7">
        <f>IFERROR(G39*D39,"")</f>
        <v/>
      </c>
      <c r="I39" s="7">
        <f>IFERROR(IF(F39&gt;=参数配置!$C$18,0,IF(F39&lt;=参数配置!$C$21,MAX(0,MIN(C39-H39,参数配置!$C$8*参数配置!$C$13)),MAX(0,MIN(C39-H39,参数配置!$C$8*参数配置!$C$12)))),"")</f>
        <v/>
      </c>
      <c r="J39" s="28">
        <f>IFERROR(IF(F39&gt;=参数配置!$C$18,"极端清仓",IF(F39&gt;=参数配置!$C$17,"三档收割",IF(F39&gt;=参数配置!$C$16,"二档收割",IF(F39&gt;=参数配置!$C$15,"一档收割",IF(F39&lt;=参数配置!$C$23,"三档加码",IF(F39&lt;=参数配置!$C$22,"二档加码",IF(F39&lt;=参数配置!$C$21,"一档加码","正常定投"))))))),"")</f>
        <v/>
      </c>
      <c r="K39" s="29">
        <f>IFERROR(IF(F39&gt;=参数配置!$C$18,-(H39),IF(F39&gt;=参数配置!$C$17,-((H39-C39)*参数配置!$D$17),IF(F39&gt;=参数配置!$C$16,-((H39-C39)*参数配置!$D$16),IF(F39&gt;=参数配置!$C$15,-((H39-C39)*参数配置!$D$15),IF(F39&lt;=参数配置!$C$23,I39+参数配置!$C$8*参数配置!$D$23,IF(F39&lt;=参数配置!$C$22,I39+参数配置!$C$8*参数配置!$D$22,IF(F39&lt;=参数配置!$C$21,I39+参数配置!$C$8*参数配置!$D$21,I39))))))),"")</f>
        <v/>
      </c>
      <c r="L39" s="17" t="n"/>
      <c r="M39" s="26" t="n"/>
      <c r="N39" s="30">
        <f>IFERROR(G39+M39,"")</f>
        <v/>
      </c>
      <c r="O39" s="7">
        <f>IFERROR(O38+L39,"")</f>
        <v/>
      </c>
      <c r="P39" s="7">
        <f>IFERROR(-L39,"")</f>
        <v/>
      </c>
      <c r="Q39" s="31" t="n"/>
    </row>
    <row r="40">
      <c r="A40" s="16" t="n"/>
      <c r="B40" s="15" t="n"/>
      <c r="C40" s="7">
        <f>IFERROR(参数配置!$C$8*B40,"")</f>
        <v/>
      </c>
      <c r="D40" s="26" t="n"/>
      <c r="E40" s="26" t="n"/>
      <c r="F40" s="27">
        <f>IFERROR((D40-E40)/E40,"")</f>
        <v/>
      </c>
      <c r="G40" s="26" t="n"/>
      <c r="H40" s="7">
        <f>IFERROR(G40*D40,"")</f>
        <v/>
      </c>
      <c r="I40" s="7">
        <f>IFERROR(IF(F40&gt;=参数配置!$C$18,0,IF(F40&lt;=参数配置!$C$21,MAX(0,MIN(C40-H40,参数配置!$C$8*参数配置!$C$13)),MAX(0,MIN(C40-H40,参数配置!$C$8*参数配置!$C$12)))),"")</f>
        <v/>
      </c>
      <c r="J40" s="28">
        <f>IFERROR(IF(F40&gt;=参数配置!$C$18,"极端清仓",IF(F40&gt;=参数配置!$C$17,"三档收割",IF(F40&gt;=参数配置!$C$16,"二档收割",IF(F40&gt;=参数配置!$C$15,"一档收割",IF(F40&lt;=参数配置!$C$23,"三档加码",IF(F40&lt;=参数配置!$C$22,"二档加码",IF(F40&lt;=参数配置!$C$21,"一档加码","正常定投"))))))),"")</f>
        <v/>
      </c>
      <c r="K40" s="29">
        <f>IFERROR(IF(F40&gt;=参数配置!$C$18,-(H40),IF(F40&gt;=参数配置!$C$17,-((H40-C40)*参数配置!$D$17),IF(F40&gt;=参数配置!$C$16,-((H40-C40)*参数配置!$D$16),IF(F40&gt;=参数配置!$C$15,-((H40-C40)*参数配置!$D$15),IF(F40&lt;=参数配置!$C$23,I40+参数配置!$C$8*参数配置!$D$23,IF(F40&lt;=参数配置!$C$22,I40+参数配置!$C$8*参数配置!$D$22,IF(F40&lt;=参数配置!$C$21,I40+参数配置!$C$8*参数配置!$D$21,I40))))))),"")</f>
        <v/>
      </c>
      <c r="L40" s="17" t="n"/>
      <c r="M40" s="26" t="n"/>
      <c r="N40" s="30">
        <f>IFERROR(G40+M40,"")</f>
        <v/>
      </c>
      <c r="O40" s="7">
        <f>IFERROR(O39+L40,"")</f>
        <v/>
      </c>
      <c r="P40" s="7">
        <f>IFERROR(-L40,"")</f>
        <v/>
      </c>
      <c r="Q40" s="31" t="n"/>
    </row>
    <row r="41">
      <c r="A41" s="16" t="n"/>
      <c r="B41" s="15" t="n"/>
      <c r="C41" s="7">
        <f>IFERROR(参数配置!$C$8*B41,"")</f>
        <v/>
      </c>
      <c r="D41" s="26" t="n"/>
      <c r="E41" s="26" t="n"/>
      <c r="F41" s="27">
        <f>IFERROR((D41-E41)/E41,"")</f>
        <v/>
      </c>
      <c r="G41" s="26" t="n"/>
      <c r="H41" s="7">
        <f>IFERROR(G41*D41,"")</f>
        <v/>
      </c>
      <c r="I41" s="7">
        <f>IFERROR(IF(F41&gt;=参数配置!$C$18,0,IF(F41&lt;=参数配置!$C$21,MAX(0,MIN(C41-H41,参数配置!$C$8*参数配置!$C$13)),MAX(0,MIN(C41-H41,参数配置!$C$8*参数配置!$C$12)))),"")</f>
        <v/>
      </c>
      <c r="J41" s="28">
        <f>IFERROR(IF(F41&gt;=参数配置!$C$18,"极端清仓",IF(F41&gt;=参数配置!$C$17,"三档收割",IF(F41&gt;=参数配置!$C$16,"二档收割",IF(F41&gt;=参数配置!$C$15,"一档收割",IF(F41&lt;=参数配置!$C$23,"三档加码",IF(F41&lt;=参数配置!$C$22,"二档加码",IF(F41&lt;=参数配置!$C$21,"一档加码","正常定投"))))))),"")</f>
        <v/>
      </c>
      <c r="K41" s="29">
        <f>IFERROR(IF(F41&gt;=参数配置!$C$18,-(H41),IF(F41&gt;=参数配置!$C$17,-((H41-C41)*参数配置!$D$17),IF(F41&gt;=参数配置!$C$16,-((H41-C41)*参数配置!$D$16),IF(F41&gt;=参数配置!$C$15,-((H41-C41)*参数配置!$D$15),IF(F41&lt;=参数配置!$C$23,I41+参数配置!$C$8*参数配置!$D$23,IF(F41&lt;=参数配置!$C$22,I41+参数配置!$C$8*参数配置!$D$22,IF(F41&lt;=参数配置!$C$21,I41+参数配置!$C$8*参数配置!$D$21,I41))))))),"")</f>
        <v/>
      </c>
      <c r="L41" s="17" t="n"/>
      <c r="M41" s="26" t="n"/>
      <c r="N41" s="30">
        <f>IFERROR(G41+M41,"")</f>
        <v/>
      </c>
      <c r="O41" s="7">
        <f>IFERROR(O40+L41,"")</f>
        <v/>
      </c>
      <c r="P41" s="7">
        <f>IFERROR(-L41,"")</f>
        <v/>
      </c>
      <c r="Q41" s="31" t="n"/>
    </row>
    <row r="42">
      <c r="A42" s="16" t="n"/>
      <c r="B42" s="15" t="n"/>
      <c r="C42" s="7">
        <f>IFERROR(参数配置!$C$8*B42,"")</f>
        <v/>
      </c>
      <c r="D42" s="26" t="n"/>
      <c r="E42" s="26" t="n"/>
      <c r="F42" s="27">
        <f>IFERROR((D42-E42)/E42,"")</f>
        <v/>
      </c>
      <c r="G42" s="26" t="n"/>
      <c r="H42" s="7">
        <f>IFERROR(G42*D42,"")</f>
        <v/>
      </c>
      <c r="I42" s="7">
        <f>IFERROR(IF(F42&gt;=参数配置!$C$18,0,IF(F42&lt;=参数配置!$C$21,MAX(0,MIN(C42-H42,参数配置!$C$8*参数配置!$C$13)),MAX(0,MIN(C42-H42,参数配置!$C$8*参数配置!$C$12)))),"")</f>
        <v/>
      </c>
      <c r="J42" s="28">
        <f>IFERROR(IF(F42&gt;=参数配置!$C$18,"极端清仓",IF(F42&gt;=参数配置!$C$17,"三档收割",IF(F42&gt;=参数配置!$C$16,"二档收割",IF(F42&gt;=参数配置!$C$15,"一档收割",IF(F42&lt;=参数配置!$C$23,"三档加码",IF(F42&lt;=参数配置!$C$22,"二档加码",IF(F42&lt;=参数配置!$C$21,"一档加码","正常定投"))))))),"")</f>
        <v/>
      </c>
      <c r="K42" s="29">
        <f>IFERROR(IF(F42&gt;=参数配置!$C$18,-(H42),IF(F42&gt;=参数配置!$C$17,-((H42-C42)*参数配置!$D$17),IF(F42&gt;=参数配置!$C$16,-((H42-C42)*参数配置!$D$16),IF(F42&gt;=参数配置!$C$15,-((H42-C42)*参数配置!$D$15),IF(F42&lt;=参数配置!$C$23,I42+参数配置!$C$8*参数配置!$D$23,IF(F42&lt;=参数配置!$C$22,I42+参数配置!$C$8*参数配置!$D$22,IF(F42&lt;=参数配置!$C$21,I42+参数配置!$C$8*参数配置!$D$21,I42))))))),"")</f>
        <v/>
      </c>
      <c r="L42" s="17" t="n"/>
      <c r="M42" s="26" t="n"/>
      <c r="N42" s="30">
        <f>IFERROR(G42+M42,"")</f>
        <v/>
      </c>
      <c r="O42" s="7">
        <f>IFERROR(O41+L42,"")</f>
        <v/>
      </c>
      <c r="P42" s="7">
        <f>IFERROR(-L42,"")</f>
        <v/>
      </c>
      <c r="Q42" s="31" t="n"/>
    </row>
    <row r="43">
      <c r="A43" s="16" t="n"/>
      <c r="B43" s="15" t="n"/>
      <c r="C43" s="7">
        <f>IFERROR(参数配置!$C$8*B43,"")</f>
        <v/>
      </c>
      <c r="D43" s="26" t="n"/>
      <c r="E43" s="26" t="n"/>
      <c r="F43" s="27">
        <f>IFERROR((D43-E43)/E43,"")</f>
        <v/>
      </c>
      <c r="G43" s="26" t="n"/>
      <c r="H43" s="7">
        <f>IFERROR(G43*D43,"")</f>
        <v/>
      </c>
      <c r="I43" s="7">
        <f>IFERROR(IF(F43&gt;=参数配置!$C$18,0,IF(F43&lt;=参数配置!$C$21,MAX(0,MIN(C43-H43,参数配置!$C$8*参数配置!$C$13)),MAX(0,MIN(C43-H43,参数配置!$C$8*参数配置!$C$12)))),"")</f>
        <v/>
      </c>
      <c r="J43" s="28">
        <f>IFERROR(IF(F43&gt;=参数配置!$C$18,"极端清仓",IF(F43&gt;=参数配置!$C$17,"三档收割",IF(F43&gt;=参数配置!$C$16,"二档收割",IF(F43&gt;=参数配置!$C$15,"一档收割",IF(F43&lt;=参数配置!$C$23,"三档加码",IF(F43&lt;=参数配置!$C$22,"二档加码",IF(F43&lt;=参数配置!$C$21,"一档加码","正常定投"))))))),"")</f>
        <v/>
      </c>
      <c r="K43" s="29">
        <f>IFERROR(IF(F43&gt;=参数配置!$C$18,-(H43),IF(F43&gt;=参数配置!$C$17,-((H43-C43)*参数配置!$D$17),IF(F43&gt;=参数配置!$C$16,-((H43-C43)*参数配置!$D$16),IF(F43&gt;=参数配置!$C$15,-((H43-C43)*参数配置!$D$15),IF(F43&lt;=参数配置!$C$23,I43+参数配置!$C$8*参数配置!$D$23,IF(F43&lt;=参数配置!$C$22,I43+参数配置!$C$8*参数配置!$D$22,IF(F43&lt;=参数配置!$C$21,I43+参数配置!$C$8*参数配置!$D$21,I43))))))),"")</f>
        <v/>
      </c>
      <c r="L43" s="17" t="n"/>
      <c r="M43" s="26" t="n"/>
      <c r="N43" s="30">
        <f>IFERROR(G43+M43,"")</f>
        <v/>
      </c>
      <c r="O43" s="7">
        <f>IFERROR(O42+L43,"")</f>
        <v/>
      </c>
      <c r="P43" s="7">
        <f>IFERROR(-L43,"")</f>
        <v/>
      </c>
      <c r="Q43" s="31" t="n"/>
    </row>
    <row r="44">
      <c r="A44" s="16" t="n"/>
      <c r="B44" s="15" t="n"/>
      <c r="C44" s="7">
        <f>IFERROR(参数配置!$C$8*B44,"")</f>
        <v/>
      </c>
      <c r="D44" s="26" t="n"/>
      <c r="E44" s="26" t="n"/>
      <c r="F44" s="27">
        <f>IFERROR((D44-E44)/E44,"")</f>
        <v/>
      </c>
      <c r="G44" s="26" t="n"/>
      <c r="H44" s="7">
        <f>IFERROR(G44*D44,"")</f>
        <v/>
      </c>
      <c r="I44" s="7">
        <f>IFERROR(IF(F44&gt;=参数配置!$C$18,0,IF(F44&lt;=参数配置!$C$21,MAX(0,MIN(C44-H44,参数配置!$C$8*参数配置!$C$13)),MAX(0,MIN(C44-H44,参数配置!$C$8*参数配置!$C$12)))),"")</f>
        <v/>
      </c>
      <c r="J44" s="28">
        <f>IFERROR(IF(F44&gt;=参数配置!$C$18,"极端清仓",IF(F44&gt;=参数配置!$C$17,"三档收割",IF(F44&gt;=参数配置!$C$16,"二档收割",IF(F44&gt;=参数配置!$C$15,"一档收割",IF(F44&lt;=参数配置!$C$23,"三档加码",IF(F44&lt;=参数配置!$C$22,"二档加码",IF(F44&lt;=参数配置!$C$21,"一档加码","正常定投"))))))),"")</f>
        <v/>
      </c>
      <c r="K44" s="29">
        <f>IFERROR(IF(F44&gt;=参数配置!$C$18,-(H44),IF(F44&gt;=参数配置!$C$17,-((H44-C44)*参数配置!$D$17),IF(F44&gt;=参数配置!$C$16,-((H44-C44)*参数配置!$D$16),IF(F44&gt;=参数配置!$C$15,-((H44-C44)*参数配置!$D$15),IF(F44&lt;=参数配置!$C$23,I44+参数配置!$C$8*参数配置!$D$23,IF(F44&lt;=参数配置!$C$22,I44+参数配置!$C$8*参数配置!$D$22,IF(F44&lt;=参数配置!$C$21,I44+参数配置!$C$8*参数配置!$D$21,I44))))))),"")</f>
        <v/>
      </c>
      <c r="L44" s="17" t="n"/>
      <c r="M44" s="26" t="n"/>
      <c r="N44" s="30">
        <f>IFERROR(G44+M44,"")</f>
        <v/>
      </c>
      <c r="O44" s="7">
        <f>IFERROR(O43+L44,"")</f>
        <v/>
      </c>
      <c r="P44" s="7">
        <f>IFERROR(-L44,"")</f>
        <v/>
      </c>
      <c r="Q44" s="31" t="n"/>
    </row>
    <row r="45">
      <c r="A45" s="16" t="n"/>
      <c r="B45" s="15" t="n"/>
      <c r="C45" s="7">
        <f>IFERROR(参数配置!$C$8*B45,"")</f>
        <v/>
      </c>
      <c r="D45" s="26" t="n"/>
      <c r="E45" s="26" t="n"/>
      <c r="F45" s="27">
        <f>IFERROR((D45-E45)/E45,"")</f>
        <v/>
      </c>
      <c r="G45" s="26" t="n"/>
      <c r="H45" s="7">
        <f>IFERROR(G45*D45,"")</f>
        <v/>
      </c>
      <c r="I45" s="7">
        <f>IFERROR(IF(F45&gt;=参数配置!$C$18,0,IF(F45&lt;=参数配置!$C$21,MAX(0,MIN(C45-H45,参数配置!$C$8*参数配置!$C$13)),MAX(0,MIN(C45-H45,参数配置!$C$8*参数配置!$C$12)))),"")</f>
        <v/>
      </c>
      <c r="J45" s="28">
        <f>IFERROR(IF(F45&gt;=参数配置!$C$18,"极端清仓",IF(F45&gt;=参数配置!$C$17,"三档收割",IF(F45&gt;=参数配置!$C$16,"二档收割",IF(F45&gt;=参数配置!$C$15,"一档收割",IF(F45&lt;=参数配置!$C$23,"三档加码",IF(F45&lt;=参数配置!$C$22,"二档加码",IF(F45&lt;=参数配置!$C$21,"一档加码","正常定投"))))))),"")</f>
        <v/>
      </c>
      <c r="K45" s="29">
        <f>IFERROR(IF(F45&gt;=参数配置!$C$18,-(H45),IF(F45&gt;=参数配置!$C$17,-((H45-C45)*参数配置!$D$17),IF(F45&gt;=参数配置!$C$16,-((H45-C45)*参数配置!$D$16),IF(F45&gt;=参数配置!$C$15,-((H45-C45)*参数配置!$D$15),IF(F45&lt;=参数配置!$C$23,I45+参数配置!$C$8*参数配置!$D$23,IF(F45&lt;=参数配置!$C$22,I45+参数配置!$C$8*参数配置!$D$22,IF(F45&lt;=参数配置!$C$21,I45+参数配置!$C$8*参数配置!$D$21,I45))))))),"")</f>
        <v/>
      </c>
      <c r="L45" s="17" t="n"/>
      <c r="M45" s="26" t="n"/>
      <c r="N45" s="30">
        <f>IFERROR(G45+M45,"")</f>
        <v/>
      </c>
      <c r="O45" s="7">
        <f>IFERROR(O44+L45,"")</f>
        <v/>
      </c>
      <c r="P45" s="7">
        <f>IFERROR(-L45,"")</f>
        <v/>
      </c>
      <c r="Q45" s="31" t="n"/>
    </row>
    <row r="46">
      <c r="A46" s="16" t="n"/>
      <c r="B46" s="15" t="n"/>
      <c r="C46" s="7">
        <f>IFERROR(参数配置!$C$8*B46,"")</f>
        <v/>
      </c>
      <c r="D46" s="26" t="n"/>
      <c r="E46" s="26" t="n"/>
      <c r="F46" s="27">
        <f>IFERROR((D46-E46)/E46,"")</f>
        <v/>
      </c>
      <c r="G46" s="26" t="n"/>
      <c r="H46" s="7">
        <f>IFERROR(G46*D46,"")</f>
        <v/>
      </c>
      <c r="I46" s="7">
        <f>IFERROR(IF(F46&gt;=参数配置!$C$18,0,IF(F46&lt;=参数配置!$C$21,MAX(0,MIN(C46-H46,参数配置!$C$8*参数配置!$C$13)),MAX(0,MIN(C46-H46,参数配置!$C$8*参数配置!$C$12)))),"")</f>
        <v/>
      </c>
      <c r="J46" s="28">
        <f>IFERROR(IF(F46&gt;=参数配置!$C$18,"极端清仓",IF(F46&gt;=参数配置!$C$17,"三档收割",IF(F46&gt;=参数配置!$C$16,"二档收割",IF(F46&gt;=参数配置!$C$15,"一档收割",IF(F46&lt;=参数配置!$C$23,"三档加码",IF(F46&lt;=参数配置!$C$22,"二档加码",IF(F46&lt;=参数配置!$C$21,"一档加码","正常定投"))))))),"")</f>
        <v/>
      </c>
      <c r="K46" s="29">
        <f>IFERROR(IF(F46&gt;=参数配置!$C$18,-(H46),IF(F46&gt;=参数配置!$C$17,-((H46-C46)*参数配置!$D$17),IF(F46&gt;=参数配置!$C$16,-((H46-C46)*参数配置!$D$16),IF(F46&gt;=参数配置!$C$15,-((H46-C46)*参数配置!$D$15),IF(F46&lt;=参数配置!$C$23,I46+参数配置!$C$8*参数配置!$D$23,IF(F46&lt;=参数配置!$C$22,I46+参数配置!$C$8*参数配置!$D$22,IF(F46&lt;=参数配置!$C$21,I46+参数配置!$C$8*参数配置!$D$21,I46))))))),"")</f>
        <v/>
      </c>
      <c r="L46" s="17" t="n"/>
      <c r="M46" s="26" t="n"/>
      <c r="N46" s="30">
        <f>IFERROR(G46+M46,"")</f>
        <v/>
      </c>
      <c r="O46" s="7">
        <f>IFERROR(O45+L46,"")</f>
        <v/>
      </c>
      <c r="P46" s="7">
        <f>IFERROR(-L46,"")</f>
        <v/>
      </c>
      <c r="Q46" s="31" t="n"/>
    </row>
    <row r="47">
      <c r="A47" s="16" t="n"/>
      <c r="B47" s="15" t="n"/>
      <c r="C47" s="7">
        <f>IFERROR(参数配置!$C$8*B47,"")</f>
        <v/>
      </c>
      <c r="D47" s="26" t="n"/>
      <c r="E47" s="26" t="n"/>
      <c r="F47" s="27">
        <f>IFERROR((D47-E47)/E47,"")</f>
        <v/>
      </c>
      <c r="G47" s="26" t="n"/>
      <c r="H47" s="7">
        <f>IFERROR(G47*D47,"")</f>
        <v/>
      </c>
      <c r="I47" s="7">
        <f>IFERROR(IF(F47&gt;=参数配置!$C$18,0,IF(F47&lt;=参数配置!$C$21,MAX(0,MIN(C47-H47,参数配置!$C$8*参数配置!$C$13)),MAX(0,MIN(C47-H47,参数配置!$C$8*参数配置!$C$12)))),"")</f>
        <v/>
      </c>
      <c r="J47" s="28">
        <f>IFERROR(IF(F47&gt;=参数配置!$C$18,"极端清仓",IF(F47&gt;=参数配置!$C$17,"三档收割",IF(F47&gt;=参数配置!$C$16,"二档收割",IF(F47&gt;=参数配置!$C$15,"一档收割",IF(F47&lt;=参数配置!$C$23,"三档加码",IF(F47&lt;=参数配置!$C$22,"二档加码",IF(F47&lt;=参数配置!$C$21,"一档加码","正常定投"))))))),"")</f>
        <v/>
      </c>
      <c r="K47" s="29">
        <f>IFERROR(IF(F47&gt;=参数配置!$C$18,-(H47),IF(F47&gt;=参数配置!$C$17,-((H47-C47)*参数配置!$D$17),IF(F47&gt;=参数配置!$C$16,-((H47-C47)*参数配置!$D$16),IF(F47&gt;=参数配置!$C$15,-((H47-C47)*参数配置!$D$15),IF(F47&lt;=参数配置!$C$23,I47+参数配置!$C$8*参数配置!$D$23,IF(F47&lt;=参数配置!$C$22,I47+参数配置!$C$8*参数配置!$D$22,IF(F47&lt;=参数配置!$C$21,I47+参数配置!$C$8*参数配置!$D$21,I47))))))),"")</f>
        <v/>
      </c>
      <c r="L47" s="17" t="n"/>
      <c r="M47" s="26" t="n"/>
      <c r="N47" s="30">
        <f>IFERROR(G47+M47,"")</f>
        <v/>
      </c>
      <c r="O47" s="7">
        <f>IFERROR(O46+L47,"")</f>
        <v/>
      </c>
      <c r="P47" s="7">
        <f>IFERROR(-L47,"")</f>
        <v/>
      </c>
      <c r="Q47" s="31" t="n"/>
    </row>
    <row r="48">
      <c r="A48" s="16" t="n"/>
      <c r="B48" s="15" t="n"/>
      <c r="C48" s="7">
        <f>IFERROR(参数配置!$C$8*B48,"")</f>
        <v/>
      </c>
      <c r="D48" s="26" t="n"/>
      <c r="E48" s="26" t="n"/>
      <c r="F48" s="27">
        <f>IFERROR((D48-E48)/E48,"")</f>
        <v/>
      </c>
      <c r="G48" s="26" t="n"/>
      <c r="H48" s="7">
        <f>IFERROR(G48*D48,"")</f>
        <v/>
      </c>
      <c r="I48" s="7">
        <f>IFERROR(IF(F48&gt;=参数配置!$C$18,0,IF(F48&lt;=参数配置!$C$21,MAX(0,MIN(C48-H48,参数配置!$C$8*参数配置!$C$13)),MAX(0,MIN(C48-H48,参数配置!$C$8*参数配置!$C$12)))),"")</f>
        <v/>
      </c>
      <c r="J48" s="28">
        <f>IFERROR(IF(F48&gt;=参数配置!$C$18,"极端清仓",IF(F48&gt;=参数配置!$C$17,"三档收割",IF(F48&gt;=参数配置!$C$16,"二档收割",IF(F48&gt;=参数配置!$C$15,"一档收割",IF(F48&lt;=参数配置!$C$23,"三档加码",IF(F48&lt;=参数配置!$C$22,"二档加码",IF(F48&lt;=参数配置!$C$21,"一档加码","正常定投"))))))),"")</f>
        <v/>
      </c>
      <c r="K48" s="29">
        <f>IFERROR(IF(F48&gt;=参数配置!$C$18,-(H48),IF(F48&gt;=参数配置!$C$17,-((H48-C48)*参数配置!$D$17),IF(F48&gt;=参数配置!$C$16,-((H48-C48)*参数配置!$D$16),IF(F48&gt;=参数配置!$C$15,-((H48-C48)*参数配置!$D$15),IF(F48&lt;=参数配置!$C$23,I48+参数配置!$C$8*参数配置!$D$23,IF(F48&lt;=参数配置!$C$22,I48+参数配置!$C$8*参数配置!$D$22,IF(F48&lt;=参数配置!$C$21,I48+参数配置!$C$8*参数配置!$D$21,I48))))))),"")</f>
        <v/>
      </c>
      <c r="L48" s="17" t="n"/>
      <c r="M48" s="26" t="n"/>
      <c r="N48" s="30">
        <f>IFERROR(G48+M48,"")</f>
        <v/>
      </c>
      <c r="O48" s="7">
        <f>IFERROR(O47+L48,"")</f>
        <v/>
      </c>
      <c r="P48" s="7">
        <f>IFERROR(-L48,"")</f>
        <v/>
      </c>
      <c r="Q48" s="31" t="n"/>
    </row>
    <row r="49">
      <c r="A49" s="16" t="n"/>
      <c r="B49" s="15" t="n"/>
      <c r="C49" s="7">
        <f>IFERROR(参数配置!$C$8*B49,"")</f>
        <v/>
      </c>
      <c r="D49" s="26" t="n"/>
      <c r="E49" s="26" t="n"/>
      <c r="F49" s="27">
        <f>IFERROR((D49-E49)/E49,"")</f>
        <v/>
      </c>
      <c r="G49" s="26" t="n"/>
      <c r="H49" s="7">
        <f>IFERROR(G49*D49,"")</f>
        <v/>
      </c>
      <c r="I49" s="7">
        <f>IFERROR(IF(F49&gt;=参数配置!$C$18,0,IF(F49&lt;=参数配置!$C$21,MAX(0,MIN(C49-H49,参数配置!$C$8*参数配置!$C$13)),MAX(0,MIN(C49-H49,参数配置!$C$8*参数配置!$C$12)))),"")</f>
        <v/>
      </c>
      <c r="J49" s="28">
        <f>IFERROR(IF(F49&gt;=参数配置!$C$18,"极端清仓",IF(F49&gt;=参数配置!$C$17,"三档收割",IF(F49&gt;=参数配置!$C$16,"二档收割",IF(F49&gt;=参数配置!$C$15,"一档收割",IF(F49&lt;=参数配置!$C$23,"三档加码",IF(F49&lt;=参数配置!$C$22,"二档加码",IF(F49&lt;=参数配置!$C$21,"一档加码","正常定投"))))))),"")</f>
        <v/>
      </c>
      <c r="K49" s="29">
        <f>IFERROR(IF(F49&gt;=参数配置!$C$18,-(H49),IF(F49&gt;=参数配置!$C$17,-((H49-C49)*参数配置!$D$17),IF(F49&gt;=参数配置!$C$16,-((H49-C49)*参数配置!$D$16),IF(F49&gt;=参数配置!$C$15,-((H49-C49)*参数配置!$D$15),IF(F49&lt;=参数配置!$C$23,I49+参数配置!$C$8*参数配置!$D$23,IF(F49&lt;=参数配置!$C$22,I49+参数配置!$C$8*参数配置!$D$22,IF(F49&lt;=参数配置!$C$21,I49+参数配置!$C$8*参数配置!$D$21,I49))))))),"")</f>
        <v/>
      </c>
      <c r="L49" s="17" t="n"/>
      <c r="M49" s="26" t="n"/>
      <c r="N49" s="30">
        <f>IFERROR(G49+M49,"")</f>
        <v/>
      </c>
      <c r="O49" s="7">
        <f>IFERROR(O48+L49,"")</f>
        <v/>
      </c>
      <c r="P49" s="7">
        <f>IFERROR(-L49,"")</f>
        <v/>
      </c>
      <c r="Q49" s="31" t="n"/>
    </row>
    <row r="50">
      <c r="A50" s="16" t="n"/>
      <c r="B50" s="15" t="n"/>
      <c r="C50" s="7">
        <f>IFERROR(参数配置!$C$8*B50,"")</f>
        <v/>
      </c>
      <c r="D50" s="26" t="n"/>
      <c r="E50" s="26" t="n"/>
      <c r="F50" s="27">
        <f>IFERROR((D50-E50)/E50,"")</f>
        <v/>
      </c>
      <c r="G50" s="26" t="n"/>
      <c r="H50" s="7">
        <f>IFERROR(G50*D50,"")</f>
        <v/>
      </c>
      <c r="I50" s="7">
        <f>IFERROR(IF(F50&gt;=参数配置!$C$18,0,IF(F50&lt;=参数配置!$C$21,MAX(0,MIN(C50-H50,参数配置!$C$8*参数配置!$C$13)),MAX(0,MIN(C50-H50,参数配置!$C$8*参数配置!$C$12)))),"")</f>
        <v/>
      </c>
      <c r="J50" s="28">
        <f>IFERROR(IF(F50&gt;=参数配置!$C$18,"极端清仓",IF(F50&gt;=参数配置!$C$17,"三档收割",IF(F50&gt;=参数配置!$C$16,"二档收割",IF(F50&gt;=参数配置!$C$15,"一档收割",IF(F50&lt;=参数配置!$C$23,"三档加码",IF(F50&lt;=参数配置!$C$22,"二档加码",IF(F50&lt;=参数配置!$C$21,"一档加码","正常定投"))))))),"")</f>
        <v/>
      </c>
      <c r="K50" s="29">
        <f>IFERROR(IF(F50&gt;=参数配置!$C$18,-(H50),IF(F50&gt;=参数配置!$C$17,-((H50-C50)*参数配置!$D$17),IF(F50&gt;=参数配置!$C$16,-((H50-C50)*参数配置!$D$16),IF(F50&gt;=参数配置!$C$15,-((H50-C50)*参数配置!$D$15),IF(F50&lt;=参数配置!$C$23,I50+参数配置!$C$8*参数配置!$D$23,IF(F50&lt;=参数配置!$C$22,I50+参数配置!$C$8*参数配置!$D$22,IF(F50&lt;=参数配置!$C$21,I50+参数配置!$C$8*参数配置!$D$21,I50))))))),"")</f>
        <v/>
      </c>
      <c r="L50" s="17" t="n"/>
      <c r="M50" s="26" t="n"/>
      <c r="N50" s="30">
        <f>IFERROR(G50+M50,"")</f>
        <v/>
      </c>
      <c r="O50" s="7">
        <f>IFERROR(O49+L50,"")</f>
        <v/>
      </c>
      <c r="P50" s="7">
        <f>IFERROR(-L50,"")</f>
        <v/>
      </c>
      <c r="Q50" s="31" t="n"/>
    </row>
    <row r="51">
      <c r="A51" s="16" t="n"/>
      <c r="B51" s="15" t="n"/>
      <c r="C51" s="7">
        <f>IFERROR(参数配置!$C$8*B51,"")</f>
        <v/>
      </c>
      <c r="D51" s="26" t="n"/>
      <c r="E51" s="26" t="n"/>
      <c r="F51" s="27">
        <f>IFERROR((D51-E51)/E51,"")</f>
        <v/>
      </c>
      <c r="G51" s="26" t="n"/>
      <c r="H51" s="7">
        <f>IFERROR(G51*D51,"")</f>
        <v/>
      </c>
      <c r="I51" s="7">
        <f>IFERROR(IF(F51&gt;=参数配置!$C$18,0,IF(F51&lt;=参数配置!$C$21,MAX(0,MIN(C51-H51,参数配置!$C$8*参数配置!$C$13)),MAX(0,MIN(C51-H51,参数配置!$C$8*参数配置!$C$12)))),"")</f>
        <v/>
      </c>
      <c r="J51" s="28">
        <f>IFERROR(IF(F51&gt;=参数配置!$C$18,"极端清仓",IF(F51&gt;=参数配置!$C$17,"三档收割",IF(F51&gt;=参数配置!$C$16,"二档收割",IF(F51&gt;=参数配置!$C$15,"一档收割",IF(F51&lt;=参数配置!$C$23,"三档加码",IF(F51&lt;=参数配置!$C$22,"二档加码",IF(F51&lt;=参数配置!$C$21,"一档加码","正常定投"))))))),"")</f>
        <v/>
      </c>
      <c r="K51" s="29">
        <f>IFERROR(IF(F51&gt;=参数配置!$C$18,-(H51),IF(F51&gt;=参数配置!$C$17,-((H51-C51)*参数配置!$D$17),IF(F51&gt;=参数配置!$C$16,-((H51-C51)*参数配置!$D$16),IF(F51&gt;=参数配置!$C$15,-((H51-C51)*参数配置!$D$15),IF(F51&lt;=参数配置!$C$23,I51+参数配置!$C$8*参数配置!$D$23,IF(F51&lt;=参数配置!$C$22,I51+参数配置!$C$8*参数配置!$D$22,IF(F51&lt;=参数配置!$C$21,I51+参数配置!$C$8*参数配置!$D$21,I51))))))),"")</f>
        <v/>
      </c>
      <c r="L51" s="17" t="n"/>
      <c r="M51" s="26" t="n"/>
      <c r="N51" s="30">
        <f>IFERROR(G51+M51,"")</f>
        <v/>
      </c>
      <c r="O51" s="7">
        <f>IFERROR(O50+L51,"")</f>
        <v/>
      </c>
      <c r="P51" s="7">
        <f>IFERROR(-L51,"")</f>
        <v/>
      </c>
      <c r="Q51" s="31" t="n"/>
    </row>
    <row r="52">
      <c r="A52" s="16" t="n"/>
      <c r="B52" s="15" t="n"/>
      <c r="C52" s="7">
        <f>IFERROR(参数配置!$C$8*B52,"")</f>
        <v/>
      </c>
      <c r="D52" s="26" t="n"/>
      <c r="E52" s="26" t="n"/>
      <c r="F52" s="27">
        <f>IFERROR((D52-E52)/E52,"")</f>
        <v/>
      </c>
      <c r="G52" s="26" t="n"/>
      <c r="H52" s="7">
        <f>IFERROR(G52*D52,"")</f>
        <v/>
      </c>
      <c r="I52" s="7">
        <f>IFERROR(IF(F52&gt;=参数配置!$C$18,0,IF(F52&lt;=参数配置!$C$21,MAX(0,MIN(C52-H52,参数配置!$C$8*参数配置!$C$13)),MAX(0,MIN(C52-H52,参数配置!$C$8*参数配置!$C$12)))),"")</f>
        <v/>
      </c>
      <c r="J52" s="28">
        <f>IFERROR(IF(F52&gt;=参数配置!$C$18,"极端清仓",IF(F52&gt;=参数配置!$C$17,"三档收割",IF(F52&gt;=参数配置!$C$16,"二档收割",IF(F52&gt;=参数配置!$C$15,"一档收割",IF(F52&lt;=参数配置!$C$23,"三档加码",IF(F52&lt;=参数配置!$C$22,"二档加码",IF(F52&lt;=参数配置!$C$21,"一档加码","正常定投"))))))),"")</f>
        <v/>
      </c>
      <c r="K52" s="29">
        <f>IFERROR(IF(F52&gt;=参数配置!$C$18,-(H52),IF(F52&gt;=参数配置!$C$17,-((H52-C52)*参数配置!$D$17),IF(F52&gt;=参数配置!$C$16,-((H52-C52)*参数配置!$D$16),IF(F52&gt;=参数配置!$C$15,-((H52-C52)*参数配置!$D$15),IF(F52&lt;=参数配置!$C$23,I52+参数配置!$C$8*参数配置!$D$23,IF(F52&lt;=参数配置!$C$22,I52+参数配置!$C$8*参数配置!$D$22,IF(F52&lt;=参数配置!$C$21,I52+参数配置!$C$8*参数配置!$D$21,I52))))))),"")</f>
        <v/>
      </c>
      <c r="L52" s="17" t="n"/>
      <c r="M52" s="26" t="n"/>
      <c r="N52" s="30">
        <f>IFERROR(G52+M52,"")</f>
        <v/>
      </c>
      <c r="O52" s="7">
        <f>IFERROR(O51+L52,"")</f>
        <v/>
      </c>
      <c r="P52" s="7">
        <f>IFERROR(-L52,"")</f>
        <v/>
      </c>
      <c r="Q52" s="31" t="n"/>
    </row>
    <row r="53">
      <c r="A53" s="16" t="n"/>
      <c r="B53" s="15" t="n"/>
      <c r="C53" s="7">
        <f>IFERROR(参数配置!$C$8*B53,"")</f>
        <v/>
      </c>
      <c r="D53" s="26" t="n"/>
      <c r="E53" s="26" t="n"/>
      <c r="F53" s="27">
        <f>IFERROR((D53-E53)/E53,"")</f>
        <v/>
      </c>
      <c r="G53" s="26" t="n"/>
      <c r="H53" s="7">
        <f>IFERROR(G53*D53,"")</f>
        <v/>
      </c>
      <c r="I53" s="7">
        <f>IFERROR(IF(F53&gt;=参数配置!$C$18,0,IF(F53&lt;=参数配置!$C$21,MAX(0,MIN(C53-H53,参数配置!$C$8*参数配置!$C$13)),MAX(0,MIN(C53-H53,参数配置!$C$8*参数配置!$C$12)))),"")</f>
        <v/>
      </c>
      <c r="J53" s="28">
        <f>IFERROR(IF(F53&gt;=参数配置!$C$18,"极端清仓",IF(F53&gt;=参数配置!$C$17,"三档收割",IF(F53&gt;=参数配置!$C$16,"二档收割",IF(F53&gt;=参数配置!$C$15,"一档收割",IF(F53&lt;=参数配置!$C$23,"三档加码",IF(F53&lt;=参数配置!$C$22,"二档加码",IF(F53&lt;=参数配置!$C$21,"一档加码","正常定投"))))))),"")</f>
        <v/>
      </c>
      <c r="K53" s="29">
        <f>IFERROR(IF(F53&gt;=参数配置!$C$18,-(H53),IF(F53&gt;=参数配置!$C$17,-((H53-C53)*参数配置!$D$17),IF(F53&gt;=参数配置!$C$16,-((H53-C53)*参数配置!$D$16),IF(F53&gt;=参数配置!$C$15,-((H53-C53)*参数配置!$D$15),IF(F53&lt;=参数配置!$C$23,I53+参数配置!$C$8*参数配置!$D$23,IF(F53&lt;=参数配置!$C$22,I53+参数配置!$C$8*参数配置!$D$22,IF(F53&lt;=参数配置!$C$21,I53+参数配置!$C$8*参数配置!$D$21,I53))))))),"")</f>
        <v/>
      </c>
      <c r="L53" s="17" t="n"/>
      <c r="M53" s="26" t="n"/>
      <c r="N53" s="30">
        <f>IFERROR(G53+M53,"")</f>
        <v/>
      </c>
      <c r="O53" s="7">
        <f>IFERROR(O52+L53,"")</f>
        <v/>
      </c>
      <c r="P53" s="7">
        <f>IFERROR(-L53,"")</f>
        <v/>
      </c>
      <c r="Q53" s="31" t="n"/>
    </row>
    <row r="54">
      <c r="A54" s="16" t="n"/>
      <c r="B54" s="15" t="n"/>
      <c r="C54" s="7">
        <f>IFERROR(参数配置!$C$8*B54,"")</f>
        <v/>
      </c>
      <c r="D54" s="26" t="n"/>
      <c r="E54" s="26" t="n"/>
      <c r="F54" s="27">
        <f>IFERROR((D54-E54)/E54,"")</f>
        <v/>
      </c>
      <c r="G54" s="26" t="n"/>
      <c r="H54" s="7">
        <f>IFERROR(G54*D54,"")</f>
        <v/>
      </c>
      <c r="I54" s="7">
        <f>IFERROR(IF(F54&gt;=参数配置!$C$18,0,IF(F54&lt;=参数配置!$C$21,MAX(0,MIN(C54-H54,参数配置!$C$8*参数配置!$C$13)),MAX(0,MIN(C54-H54,参数配置!$C$8*参数配置!$C$12)))),"")</f>
        <v/>
      </c>
      <c r="J54" s="28">
        <f>IFERROR(IF(F54&gt;=参数配置!$C$18,"极端清仓",IF(F54&gt;=参数配置!$C$17,"三档收割",IF(F54&gt;=参数配置!$C$16,"二档收割",IF(F54&gt;=参数配置!$C$15,"一档收割",IF(F54&lt;=参数配置!$C$23,"三档加码",IF(F54&lt;=参数配置!$C$22,"二档加码",IF(F54&lt;=参数配置!$C$21,"一档加码","正常定投"))))))),"")</f>
        <v/>
      </c>
      <c r="K54" s="29">
        <f>IFERROR(IF(F54&gt;=参数配置!$C$18,-(H54),IF(F54&gt;=参数配置!$C$17,-((H54-C54)*参数配置!$D$17),IF(F54&gt;=参数配置!$C$16,-((H54-C54)*参数配置!$D$16),IF(F54&gt;=参数配置!$C$15,-((H54-C54)*参数配置!$D$15),IF(F54&lt;=参数配置!$C$23,I54+参数配置!$C$8*参数配置!$D$23,IF(F54&lt;=参数配置!$C$22,I54+参数配置!$C$8*参数配置!$D$22,IF(F54&lt;=参数配置!$C$21,I54+参数配置!$C$8*参数配置!$D$21,I54))))))),"")</f>
        <v/>
      </c>
      <c r="L54" s="17" t="n"/>
      <c r="M54" s="26" t="n"/>
      <c r="N54" s="30">
        <f>IFERROR(G54+M54,"")</f>
        <v/>
      </c>
      <c r="O54" s="7">
        <f>IFERROR(O53+L54,"")</f>
        <v/>
      </c>
      <c r="P54" s="7">
        <f>IFERROR(-L54,"")</f>
        <v/>
      </c>
      <c r="Q54" s="31" t="n"/>
    </row>
    <row r="55">
      <c r="A55" s="16" t="n"/>
      <c r="B55" s="15" t="n"/>
      <c r="C55" s="7">
        <f>IFERROR(参数配置!$C$8*B55,"")</f>
        <v/>
      </c>
      <c r="D55" s="26" t="n"/>
      <c r="E55" s="26" t="n"/>
      <c r="F55" s="27">
        <f>IFERROR((D55-E55)/E55,"")</f>
        <v/>
      </c>
      <c r="G55" s="26" t="n"/>
      <c r="H55" s="7">
        <f>IFERROR(G55*D55,"")</f>
        <v/>
      </c>
      <c r="I55" s="7">
        <f>IFERROR(IF(F55&gt;=参数配置!$C$18,0,IF(F55&lt;=参数配置!$C$21,MAX(0,MIN(C55-H55,参数配置!$C$8*参数配置!$C$13)),MAX(0,MIN(C55-H55,参数配置!$C$8*参数配置!$C$12)))),"")</f>
        <v/>
      </c>
      <c r="J55" s="28">
        <f>IFERROR(IF(F55&gt;=参数配置!$C$18,"极端清仓",IF(F55&gt;=参数配置!$C$17,"三档收割",IF(F55&gt;=参数配置!$C$16,"二档收割",IF(F55&gt;=参数配置!$C$15,"一档收割",IF(F55&lt;=参数配置!$C$23,"三档加码",IF(F55&lt;=参数配置!$C$22,"二档加码",IF(F55&lt;=参数配置!$C$21,"一档加码","正常定投"))))))),"")</f>
        <v/>
      </c>
      <c r="K55" s="29">
        <f>IFERROR(IF(F55&gt;=参数配置!$C$18,-(H55),IF(F55&gt;=参数配置!$C$17,-((H55-C55)*参数配置!$D$17),IF(F55&gt;=参数配置!$C$16,-((H55-C55)*参数配置!$D$16),IF(F55&gt;=参数配置!$C$15,-((H55-C55)*参数配置!$D$15),IF(F55&lt;=参数配置!$C$23,I55+参数配置!$C$8*参数配置!$D$23,IF(F55&lt;=参数配置!$C$22,I55+参数配置!$C$8*参数配置!$D$22,IF(F55&lt;=参数配置!$C$21,I55+参数配置!$C$8*参数配置!$D$21,I55))))))),"")</f>
        <v/>
      </c>
      <c r="L55" s="17" t="n"/>
      <c r="M55" s="26" t="n"/>
      <c r="N55" s="30">
        <f>IFERROR(G55+M55,"")</f>
        <v/>
      </c>
      <c r="O55" s="7">
        <f>IFERROR(O54+L55,"")</f>
        <v/>
      </c>
      <c r="P55" s="7">
        <f>IFERROR(-L55,"")</f>
        <v/>
      </c>
      <c r="Q55" s="31" t="n"/>
    </row>
    <row r="56">
      <c r="A56" s="16" t="n"/>
      <c r="B56" s="15" t="n"/>
      <c r="C56" s="7">
        <f>IFERROR(参数配置!$C$8*B56,"")</f>
        <v/>
      </c>
      <c r="D56" s="26" t="n"/>
      <c r="E56" s="26" t="n"/>
      <c r="F56" s="27">
        <f>IFERROR((D56-E56)/E56,"")</f>
        <v/>
      </c>
      <c r="G56" s="26" t="n"/>
      <c r="H56" s="7">
        <f>IFERROR(G56*D56,"")</f>
        <v/>
      </c>
      <c r="I56" s="7">
        <f>IFERROR(IF(F56&gt;=参数配置!$C$18,0,IF(F56&lt;=参数配置!$C$21,MAX(0,MIN(C56-H56,参数配置!$C$8*参数配置!$C$13)),MAX(0,MIN(C56-H56,参数配置!$C$8*参数配置!$C$12)))),"")</f>
        <v/>
      </c>
      <c r="J56" s="28">
        <f>IFERROR(IF(F56&gt;=参数配置!$C$18,"极端清仓",IF(F56&gt;=参数配置!$C$17,"三档收割",IF(F56&gt;=参数配置!$C$16,"二档收割",IF(F56&gt;=参数配置!$C$15,"一档收割",IF(F56&lt;=参数配置!$C$23,"三档加码",IF(F56&lt;=参数配置!$C$22,"二档加码",IF(F56&lt;=参数配置!$C$21,"一档加码","正常定投"))))))),"")</f>
        <v/>
      </c>
      <c r="K56" s="29">
        <f>IFERROR(IF(F56&gt;=参数配置!$C$18,-(H56),IF(F56&gt;=参数配置!$C$17,-((H56-C56)*参数配置!$D$17),IF(F56&gt;=参数配置!$C$16,-((H56-C56)*参数配置!$D$16),IF(F56&gt;=参数配置!$C$15,-((H56-C56)*参数配置!$D$15),IF(F56&lt;=参数配置!$C$23,I56+参数配置!$C$8*参数配置!$D$23,IF(F56&lt;=参数配置!$C$22,I56+参数配置!$C$8*参数配置!$D$22,IF(F56&lt;=参数配置!$C$21,I56+参数配置!$C$8*参数配置!$D$21,I56))))))),"")</f>
        <v/>
      </c>
      <c r="L56" s="17" t="n"/>
      <c r="M56" s="26" t="n"/>
      <c r="N56" s="30">
        <f>IFERROR(G56+M56,"")</f>
        <v/>
      </c>
      <c r="O56" s="7">
        <f>IFERROR(O55+L56,"")</f>
        <v/>
      </c>
      <c r="P56" s="7">
        <f>IFERROR(-L56,"")</f>
        <v/>
      </c>
      <c r="Q56" s="31" t="n"/>
    </row>
    <row r="57">
      <c r="A57" s="16" t="n"/>
      <c r="B57" s="15" t="n"/>
      <c r="C57" s="7">
        <f>IFERROR(参数配置!$C$8*B57,"")</f>
        <v/>
      </c>
      <c r="D57" s="26" t="n"/>
      <c r="E57" s="26" t="n"/>
      <c r="F57" s="27">
        <f>IFERROR((D57-E57)/E57,"")</f>
        <v/>
      </c>
      <c r="G57" s="26" t="n"/>
      <c r="H57" s="7">
        <f>IFERROR(G57*D57,"")</f>
        <v/>
      </c>
      <c r="I57" s="7">
        <f>IFERROR(IF(F57&gt;=参数配置!$C$18,0,IF(F57&lt;=参数配置!$C$21,MAX(0,MIN(C57-H57,参数配置!$C$8*参数配置!$C$13)),MAX(0,MIN(C57-H57,参数配置!$C$8*参数配置!$C$12)))),"")</f>
        <v/>
      </c>
      <c r="J57" s="28">
        <f>IFERROR(IF(F57&gt;=参数配置!$C$18,"极端清仓",IF(F57&gt;=参数配置!$C$17,"三档收割",IF(F57&gt;=参数配置!$C$16,"二档收割",IF(F57&gt;=参数配置!$C$15,"一档收割",IF(F57&lt;=参数配置!$C$23,"三档加码",IF(F57&lt;=参数配置!$C$22,"二档加码",IF(F57&lt;=参数配置!$C$21,"一档加码","正常定投"))))))),"")</f>
        <v/>
      </c>
      <c r="K57" s="29">
        <f>IFERROR(IF(F57&gt;=参数配置!$C$18,-(H57),IF(F57&gt;=参数配置!$C$17,-((H57-C57)*参数配置!$D$17),IF(F57&gt;=参数配置!$C$16,-((H57-C57)*参数配置!$D$16),IF(F57&gt;=参数配置!$C$15,-((H57-C57)*参数配置!$D$15),IF(F57&lt;=参数配置!$C$23,I57+参数配置!$C$8*参数配置!$D$23,IF(F57&lt;=参数配置!$C$22,I57+参数配置!$C$8*参数配置!$D$22,IF(F57&lt;=参数配置!$C$21,I57+参数配置!$C$8*参数配置!$D$21,I57))))))),"")</f>
        <v/>
      </c>
      <c r="L57" s="17" t="n"/>
      <c r="M57" s="26" t="n"/>
      <c r="N57" s="30">
        <f>IFERROR(G57+M57,"")</f>
        <v/>
      </c>
      <c r="O57" s="7">
        <f>IFERROR(O56+L57,"")</f>
        <v/>
      </c>
      <c r="P57" s="7">
        <f>IFERROR(-L57,"")</f>
        <v/>
      </c>
      <c r="Q57" s="31" t="n"/>
    </row>
    <row r="58">
      <c r="A58" s="16" t="n"/>
      <c r="B58" s="15" t="n"/>
      <c r="C58" s="7">
        <f>IFERROR(参数配置!$C$8*B58,"")</f>
        <v/>
      </c>
      <c r="D58" s="26" t="n"/>
      <c r="E58" s="26" t="n"/>
      <c r="F58" s="27">
        <f>IFERROR((D58-E58)/E58,"")</f>
        <v/>
      </c>
      <c r="G58" s="26" t="n"/>
      <c r="H58" s="7">
        <f>IFERROR(G58*D58,"")</f>
        <v/>
      </c>
      <c r="I58" s="7">
        <f>IFERROR(IF(F58&gt;=参数配置!$C$18,0,IF(F58&lt;=参数配置!$C$21,MAX(0,MIN(C58-H58,参数配置!$C$8*参数配置!$C$13)),MAX(0,MIN(C58-H58,参数配置!$C$8*参数配置!$C$12)))),"")</f>
        <v/>
      </c>
      <c r="J58" s="28">
        <f>IFERROR(IF(F58&gt;=参数配置!$C$18,"极端清仓",IF(F58&gt;=参数配置!$C$17,"三档收割",IF(F58&gt;=参数配置!$C$16,"二档收割",IF(F58&gt;=参数配置!$C$15,"一档收割",IF(F58&lt;=参数配置!$C$23,"三档加码",IF(F58&lt;=参数配置!$C$22,"二档加码",IF(F58&lt;=参数配置!$C$21,"一档加码","正常定投"))))))),"")</f>
        <v/>
      </c>
      <c r="K58" s="29">
        <f>IFERROR(IF(F58&gt;=参数配置!$C$18,-(H58),IF(F58&gt;=参数配置!$C$17,-((H58-C58)*参数配置!$D$17),IF(F58&gt;=参数配置!$C$16,-((H58-C58)*参数配置!$D$16),IF(F58&gt;=参数配置!$C$15,-((H58-C58)*参数配置!$D$15),IF(F58&lt;=参数配置!$C$23,I58+参数配置!$C$8*参数配置!$D$23,IF(F58&lt;=参数配置!$C$22,I58+参数配置!$C$8*参数配置!$D$22,IF(F58&lt;=参数配置!$C$21,I58+参数配置!$C$8*参数配置!$D$21,I58))))))),"")</f>
        <v/>
      </c>
      <c r="L58" s="17" t="n"/>
      <c r="M58" s="26" t="n"/>
      <c r="N58" s="30">
        <f>IFERROR(G58+M58,"")</f>
        <v/>
      </c>
      <c r="O58" s="7">
        <f>IFERROR(O57+L58,"")</f>
        <v/>
      </c>
      <c r="P58" s="7">
        <f>IFERROR(-L58,"")</f>
        <v/>
      </c>
      <c r="Q58" s="31" t="n"/>
    </row>
    <row r="59">
      <c r="A59" s="16" t="n"/>
      <c r="B59" s="15" t="n"/>
      <c r="C59" s="7">
        <f>IFERROR(参数配置!$C$8*B59,"")</f>
        <v/>
      </c>
      <c r="D59" s="26" t="n"/>
      <c r="E59" s="26" t="n"/>
      <c r="F59" s="27">
        <f>IFERROR((D59-E59)/E59,"")</f>
        <v/>
      </c>
      <c r="G59" s="26" t="n"/>
      <c r="H59" s="7">
        <f>IFERROR(G59*D59,"")</f>
        <v/>
      </c>
      <c r="I59" s="7">
        <f>IFERROR(IF(F59&gt;=参数配置!$C$18,0,IF(F59&lt;=参数配置!$C$21,MAX(0,MIN(C59-H59,参数配置!$C$8*参数配置!$C$13)),MAX(0,MIN(C59-H59,参数配置!$C$8*参数配置!$C$12)))),"")</f>
        <v/>
      </c>
      <c r="J59" s="28">
        <f>IFERROR(IF(F59&gt;=参数配置!$C$18,"极端清仓",IF(F59&gt;=参数配置!$C$17,"三档收割",IF(F59&gt;=参数配置!$C$16,"二档收割",IF(F59&gt;=参数配置!$C$15,"一档收割",IF(F59&lt;=参数配置!$C$23,"三档加码",IF(F59&lt;=参数配置!$C$22,"二档加码",IF(F59&lt;=参数配置!$C$21,"一档加码","正常定投"))))))),"")</f>
        <v/>
      </c>
      <c r="K59" s="29">
        <f>IFERROR(IF(F59&gt;=参数配置!$C$18,-(H59),IF(F59&gt;=参数配置!$C$17,-((H59-C59)*参数配置!$D$17),IF(F59&gt;=参数配置!$C$16,-((H59-C59)*参数配置!$D$16),IF(F59&gt;=参数配置!$C$15,-((H59-C59)*参数配置!$D$15),IF(F59&lt;=参数配置!$C$23,I59+参数配置!$C$8*参数配置!$D$23,IF(F59&lt;=参数配置!$C$22,I59+参数配置!$C$8*参数配置!$D$22,IF(F59&lt;=参数配置!$C$21,I59+参数配置!$C$8*参数配置!$D$21,I59))))))),"")</f>
        <v/>
      </c>
      <c r="L59" s="17" t="n"/>
      <c r="M59" s="26" t="n"/>
      <c r="N59" s="30">
        <f>IFERROR(G59+M59,"")</f>
        <v/>
      </c>
      <c r="O59" s="7">
        <f>IFERROR(O58+L59,"")</f>
        <v/>
      </c>
      <c r="P59" s="7">
        <f>IFERROR(-L59,"")</f>
        <v/>
      </c>
      <c r="Q59" s="31" t="n"/>
    </row>
    <row r="60">
      <c r="A60" s="16" t="n"/>
      <c r="B60" s="15" t="n"/>
      <c r="C60" s="7">
        <f>IFERROR(参数配置!$C$8*B60,"")</f>
        <v/>
      </c>
      <c r="D60" s="26" t="n"/>
      <c r="E60" s="26" t="n"/>
      <c r="F60" s="27">
        <f>IFERROR((D60-E60)/E60,"")</f>
        <v/>
      </c>
      <c r="G60" s="26" t="n"/>
      <c r="H60" s="7">
        <f>IFERROR(G60*D60,"")</f>
        <v/>
      </c>
      <c r="I60" s="7">
        <f>IFERROR(IF(F60&gt;=参数配置!$C$18,0,IF(F60&lt;=参数配置!$C$21,MAX(0,MIN(C60-H60,参数配置!$C$8*参数配置!$C$13)),MAX(0,MIN(C60-H60,参数配置!$C$8*参数配置!$C$12)))),"")</f>
        <v/>
      </c>
      <c r="J60" s="28">
        <f>IFERROR(IF(F60&gt;=参数配置!$C$18,"极端清仓",IF(F60&gt;=参数配置!$C$17,"三档收割",IF(F60&gt;=参数配置!$C$16,"二档收割",IF(F60&gt;=参数配置!$C$15,"一档收割",IF(F60&lt;=参数配置!$C$23,"三档加码",IF(F60&lt;=参数配置!$C$22,"二档加码",IF(F60&lt;=参数配置!$C$21,"一档加码","正常定投"))))))),"")</f>
        <v/>
      </c>
      <c r="K60" s="29">
        <f>IFERROR(IF(F60&gt;=参数配置!$C$18,-(H60),IF(F60&gt;=参数配置!$C$17,-((H60-C60)*参数配置!$D$17),IF(F60&gt;=参数配置!$C$16,-((H60-C60)*参数配置!$D$16),IF(F60&gt;=参数配置!$C$15,-((H60-C60)*参数配置!$D$15),IF(F60&lt;=参数配置!$C$23,I60+参数配置!$C$8*参数配置!$D$23,IF(F60&lt;=参数配置!$C$22,I60+参数配置!$C$8*参数配置!$D$22,IF(F60&lt;=参数配置!$C$21,I60+参数配置!$C$8*参数配置!$D$21,I60))))))),"")</f>
        <v/>
      </c>
      <c r="L60" s="17" t="n"/>
      <c r="M60" s="26" t="n"/>
      <c r="N60" s="30">
        <f>IFERROR(G60+M60,"")</f>
        <v/>
      </c>
      <c r="O60" s="7">
        <f>IFERROR(O59+L60,"")</f>
        <v/>
      </c>
      <c r="P60" s="7">
        <f>IFERROR(-L60,"")</f>
        <v/>
      </c>
      <c r="Q60" s="31" t="n"/>
    </row>
    <row r="61">
      <c r="A61" s="16" t="n"/>
      <c r="B61" s="15" t="n"/>
      <c r="C61" s="7">
        <f>IFERROR(参数配置!$C$8*B61,"")</f>
        <v/>
      </c>
      <c r="D61" s="26" t="n"/>
      <c r="E61" s="26" t="n"/>
      <c r="F61" s="27">
        <f>IFERROR((D61-E61)/E61,"")</f>
        <v/>
      </c>
      <c r="G61" s="26" t="n"/>
      <c r="H61" s="7">
        <f>IFERROR(G61*D61,"")</f>
        <v/>
      </c>
      <c r="I61" s="7">
        <f>IFERROR(IF(F61&gt;=参数配置!$C$18,0,IF(F61&lt;=参数配置!$C$21,MAX(0,MIN(C61-H61,参数配置!$C$8*参数配置!$C$13)),MAX(0,MIN(C61-H61,参数配置!$C$8*参数配置!$C$12)))),"")</f>
        <v/>
      </c>
      <c r="J61" s="28">
        <f>IFERROR(IF(F61&gt;=参数配置!$C$18,"极端清仓",IF(F61&gt;=参数配置!$C$17,"三档收割",IF(F61&gt;=参数配置!$C$16,"二档收割",IF(F61&gt;=参数配置!$C$15,"一档收割",IF(F61&lt;=参数配置!$C$23,"三档加码",IF(F61&lt;=参数配置!$C$22,"二档加码",IF(F61&lt;=参数配置!$C$21,"一档加码","正常定投"))))))),"")</f>
        <v/>
      </c>
      <c r="K61" s="29">
        <f>IFERROR(IF(F61&gt;=参数配置!$C$18,-(H61),IF(F61&gt;=参数配置!$C$17,-((H61-C61)*参数配置!$D$17),IF(F61&gt;=参数配置!$C$16,-((H61-C61)*参数配置!$D$16),IF(F61&gt;=参数配置!$C$15,-((H61-C61)*参数配置!$D$15),IF(F61&lt;=参数配置!$C$23,I61+参数配置!$C$8*参数配置!$D$23,IF(F61&lt;=参数配置!$C$22,I61+参数配置!$C$8*参数配置!$D$22,IF(F61&lt;=参数配置!$C$21,I61+参数配置!$C$8*参数配置!$D$21,I61))))))),"")</f>
        <v/>
      </c>
      <c r="L61" s="17" t="n"/>
      <c r="M61" s="26" t="n"/>
      <c r="N61" s="30">
        <f>IFERROR(G61+M61,"")</f>
        <v/>
      </c>
      <c r="O61" s="7">
        <f>IFERROR(O60+L61,"")</f>
        <v/>
      </c>
      <c r="P61" s="7">
        <f>IFERROR(-L61,"")</f>
        <v/>
      </c>
      <c r="Q61" s="31" t="n"/>
    </row>
    <row r="62">
      <c r="A62" s="16" t="n"/>
      <c r="B62" s="15" t="n"/>
      <c r="C62" s="7">
        <f>IFERROR(参数配置!$C$8*B62,"")</f>
        <v/>
      </c>
      <c r="D62" s="26" t="n"/>
      <c r="E62" s="26" t="n"/>
      <c r="F62" s="27">
        <f>IFERROR((D62-E62)/E62,"")</f>
        <v/>
      </c>
      <c r="G62" s="26" t="n"/>
      <c r="H62" s="7">
        <f>IFERROR(G62*D62,"")</f>
        <v/>
      </c>
      <c r="I62" s="7">
        <f>IFERROR(IF(F62&gt;=参数配置!$C$18,0,IF(F62&lt;=参数配置!$C$21,MAX(0,MIN(C62-H62,参数配置!$C$8*参数配置!$C$13)),MAX(0,MIN(C62-H62,参数配置!$C$8*参数配置!$C$12)))),"")</f>
        <v/>
      </c>
      <c r="J62" s="28">
        <f>IFERROR(IF(F62&gt;=参数配置!$C$18,"极端清仓",IF(F62&gt;=参数配置!$C$17,"三档收割",IF(F62&gt;=参数配置!$C$16,"二档收割",IF(F62&gt;=参数配置!$C$15,"一档收割",IF(F62&lt;=参数配置!$C$23,"三档加码",IF(F62&lt;=参数配置!$C$22,"二档加码",IF(F62&lt;=参数配置!$C$21,"一档加码","正常定投"))))))),"")</f>
        <v/>
      </c>
      <c r="K62" s="29">
        <f>IFERROR(IF(F62&gt;=参数配置!$C$18,-(H62),IF(F62&gt;=参数配置!$C$17,-((H62-C62)*参数配置!$D$17),IF(F62&gt;=参数配置!$C$16,-((H62-C62)*参数配置!$D$16),IF(F62&gt;=参数配置!$C$15,-((H62-C62)*参数配置!$D$15),IF(F62&lt;=参数配置!$C$23,I62+参数配置!$C$8*参数配置!$D$23,IF(F62&lt;=参数配置!$C$22,I62+参数配置!$C$8*参数配置!$D$22,IF(F62&lt;=参数配置!$C$21,I62+参数配置!$C$8*参数配置!$D$21,I62))))))),"")</f>
        <v/>
      </c>
      <c r="L62" s="17" t="n"/>
      <c r="M62" s="26" t="n"/>
      <c r="N62" s="30">
        <f>IFERROR(G62+M62,"")</f>
        <v/>
      </c>
      <c r="O62" s="7">
        <f>IFERROR(O61+L62,"")</f>
        <v/>
      </c>
      <c r="P62" s="7">
        <f>IFERROR(-L62,"")</f>
        <v/>
      </c>
      <c r="Q62" s="31" t="n"/>
    </row>
    <row r="63">
      <c r="A63" s="16" t="n"/>
      <c r="B63" s="15" t="n"/>
      <c r="C63" s="7">
        <f>IFERROR(参数配置!$C$8*B63,"")</f>
        <v/>
      </c>
      <c r="D63" s="26" t="n"/>
      <c r="E63" s="26" t="n"/>
      <c r="F63" s="27">
        <f>IFERROR((D63-E63)/E63,"")</f>
        <v/>
      </c>
      <c r="G63" s="26" t="n"/>
      <c r="H63" s="7">
        <f>IFERROR(G63*D63,"")</f>
        <v/>
      </c>
      <c r="I63" s="7">
        <f>IFERROR(IF(F63&gt;=参数配置!$C$18,0,IF(F63&lt;=参数配置!$C$21,MAX(0,MIN(C63-H63,参数配置!$C$8*参数配置!$C$13)),MAX(0,MIN(C63-H63,参数配置!$C$8*参数配置!$C$12)))),"")</f>
        <v/>
      </c>
      <c r="J63" s="28">
        <f>IFERROR(IF(F63&gt;=参数配置!$C$18,"极端清仓",IF(F63&gt;=参数配置!$C$17,"三档收割",IF(F63&gt;=参数配置!$C$16,"二档收割",IF(F63&gt;=参数配置!$C$15,"一档收割",IF(F63&lt;=参数配置!$C$23,"三档加码",IF(F63&lt;=参数配置!$C$22,"二档加码",IF(F63&lt;=参数配置!$C$21,"一档加码","正常定投"))))))),"")</f>
        <v/>
      </c>
      <c r="K63" s="29">
        <f>IFERROR(IF(F63&gt;=参数配置!$C$18,-(H63),IF(F63&gt;=参数配置!$C$17,-((H63-C63)*参数配置!$D$17),IF(F63&gt;=参数配置!$C$16,-((H63-C63)*参数配置!$D$16),IF(F63&gt;=参数配置!$C$15,-((H63-C63)*参数配置!$D$15),IF(F63&lt;=参数配置!$C$23,I63+参数配置!$C$8*参数配置!$D$23,IF(F63&lt;=参数配置!$C$22,I63+参数配置!$C$8*参数配置!$D$22,IF(F63&lt;=参数配置!$C$21,I63+参数配置!$C$8*参数配置!$D$21,I63))))))),"")</f>
        <v/>
      </c>
      <c r="L63" s="17" t="n"/>
      <c r="M63" s="26" t="n"/>
      <c r="N63" s="30">
        <f>IFERROR(G63+M63,"")</f>
        <v/>
      </c>
      <c r="O63" s="7">
        <f>IFERROR(O62+L63,"")</f>
        <v/>
      </c>
      <c r="P63" s="7">
        <f>IFERROR(-L63,"")</f>
        <v/>
      </c>
      <c r="Q63" s="31" t="n"/>
    </row>
    <row r="64">
      <c r="A64" s="16" t="n"/>
      <c r="B64" s="15" t="n"/>
      <c r="C64" s="7">
        <f>IFERROR(参数配置!$C$8*B64,"")</f>
        <v/>
      </c>
      <c r="D64" s="26" t="n"/>
      <c r="E64" s="26" t="n"/>
      <c r="F64" s="27">
        <f>IFERROR((D64-E64)/E64,"")</f>
        <v/>
      </c>
      <c r="G64" s="26" t="n"/>
      <c r="H64" s="7">
        <f>IFERROR(G64*D64,"")</f>
        <v/>
      </c>
      <c r="I64" s="7">
        <f>IFERROR(IF(F64&gt;=参数配置!$C$18,0,IF(F64&lt;=参数配置!$C$21,MAX(0,MIN(C64-H64,参数配置!$C$8*参数配置!$C$13)),MAX(0,MIN(C64-H64,参数配置!$C$8*参数配置!$C$12)))),"")</f>
        <v/>
      </c>
      <c r="J64" s="28">
        <f>IFERROR(IF(F64&gt;=参数配置!$C$18,"极端清仓",IF(F64&gt;=参数配置!$C$17,"三档收割",IF(F64&gt;=参数配置!$C$16,"二档收割",IF(F64&gt;=参数配置!$C$15,"一档收割",IF(F64&lt;=参数配置!$C$23,"三档加码",IF(F64&lt;=参数配置!$C$22,"二档加码",IF(F64&lt;=参数配置!$C$21,"一档加码","正常定投"))))))),"")</f>
        <v/>
      </c>
      <c r="K64" s="29">
        <f>IFERROR(IF(F64&gt;=参数配置!$C$18,-(H64),IF(F64&gt;=参数配置!$C$17,-((H64-C64)*参数配置!$D$17),IF(F64&gt;=参数配置!$C$16,-((H64-C64)*参数配置!$D$16),IF(F64&gt;=参数配置!$C$15,-((H64-C64)*参数配置!$D$15),IF(F64&lt;=参数配置!$C$23,I64+参数配置!$C$8*参数配置!$D$23,IF(F64&lt;=参数配置!$C$22,I64+参数配置!$C$8*参数配置!$D$22,IF(F64&lt;=参数配置!$C$21,I64+参数配置!$C$8*参数配置!$D$21,I64))))))),"")</f>
        <v/>
      </c>
      <c r="L64" s="17" t="n"/>
      <c r="M64" s="26" t="n"/>
      <c r="N64" s="30">
        <f>IFERROR(G64+M64,"")</f>
        <v/>
      </c>
      <c r="O64" s="7">
        <f>IFERROR(O63+L64,"")</f>
        <v/>
      </c>
      <c r="P64" s="7">
        <f>IFERROR(-L64,"")</f>
        <v/>
      </c>
      <c r="Q64" s="31" t="n"/>
    </row>
    <row r="65">
      <c r="A65" s="16" t="n"/>
      <c r="B65" s="15" t="n"/>
      <c r="C65" s="7">
        <f>IFERROR(参数配置!$C$8*B65,"")</f>
        <v/>
      </c>
      <c r="D65" s="26" t="n"/>
      <c r="E65" s="26" t="n"/>
      <c r="F65" s="27">
        <f>IFERROR((D65-E65)/E65,"")</f>
        <v/>
      </c>
      <c r="G65" s="26" t="n"/>
      <c r="H65" s="7">
        <f>IFERROR(G65*D65,"")</f>
        <v/>
      </c>
      <c r="I65" s="7">
        <f>IFERROR(IF(F65&gt;=参数配置!$C$18,0,IF(F65&lt;=参数配置!$C$21,MAX(0,MIN(C65-H65,参数配置!$C$8*参数配置!$C$13)),MAX(0,MIN(C65-H65,参数配置!$C$8*参数配置!$C$12)))),"")</f>
        <v/>
      </c>
      <c r="J65" s="28">
        <f>IFERROR(IF(F65&gt;=参数配置!$C$18,"极端清仓",IF(F65&gt;=参数配置!$C$17,"三档收割",IF(F65&gt;=参数配置!$C$16,"二档收割",IF(F65&gt;=参数配置!$C$15,"一档收割",IF(F65&lt;=参数配置!$C$23,"三档加码",IF(F65&lt;=参数配置!$C$22,"二档加码",IF(F65&lt;=参数配置!$C$21,"一档加码","正常定投"))))))),"")</f>
        <v/>
      </c>
      <c r="K65" s="29">
        <f>IFERROR(IF(F65&gt;=参数配置!$C$18,-(H65),IF(F65&gt;=参数配置!$C$17,-((H65-C65)*参数配置!$D$17),IF(F65&gt;=参数配置!$C$16,-((H65-C65)*参数配置!$D$16),IF(F65&gt;=参数配置!$C$15,-((H65-C65)*参数配置!$D$15),IF(F65&lt;=参数配置!$C$23,I65+参数配置!$C$8*参数配置!$D$23,IF(F65&lt;=参数配置!$C$22,I65+参数配置!$C$8*参数配置!$D$22,IF(F65&lt;=参数配置!$C$21,I65+参数配置!$C$8*参数配置!$D$21,I65))))))),"")</f>
        <v/>
      </c>
      <c r="L65" s="17" t="n"/>
      <c r="M65" s="26" t="n"/>
      <c r="N65" s="30">
        <f>IFERROR(G65+M65,"")</f>
        <v/>
      </c>
      <c r="O65" s="7">
        <f>IFERROR(O64+L65,"")</f>
        <v/>
      </c>
      <c r="P65" s="7">
        <f>IFERROR(-L65,"")</f>
        <v/>
      </c>
      <c r="Q65" s="31" t="n"/>
    </row>
    <row r="66">
      <c r="A66" s="16" t="n"/>
      <c r="B66" s="15" t="n"/>
      <c r="C66" s="7">
        <f>IFERROR(参数配置!$C$8*B66,"")</f>
        <v/>
      </c>
      <c r="D66" s="26" t="n"/>
      <c r="E66" s="26" t="n"/>
      <c r="F66" s="27">
        <f>IFERROR((D66-E66)/E66,"")</f>
        <v/>
      </c>
      <c r="G66" s="26" t="n"/>
      <c r="H66" s="7">
        <f>IFERROR(G66*D66,"")</f>
        <v/>
      </c>
      <c r="I66" s="7">
        <f>IFERROR(IF(F66&gt;=参数配置!$C$18,0,IF(F66&lt;=参数配置!$C$21,MAX(0,MIN(C66-H66,参数配置!$C$8*参数配置!$C$13)),MAX(0,MIN(C66-H66,参数配置!$C$8*参数配置!$C$12)))),"")</f>
        <v/>
      </c>
      <c r="J66" s="28">
        <f>IFERROR(IF(F66&gt;=参数配置!$C$18,"极端清仓",IF(F66&gt;=参数配置!$C$17,"三档收割",IF(F66&gt;=参数配置!$C$16,"二档收割",IF(F66&gt;=参数配置!$C$15,"一档收割",IF(F66&lt;=参数配置!$C$23,"三档加码",IF(F66&lt;=参数配置!$C$22,"二档加码",IF(F66&lt;=参数配置!$C$21,"一档加码","正常定投"))))))),"")</f>
        <v/>
      </c>
      <c r="K66" s="29">
        <f>IFERROR(IF(F66&gt;=参数配置!$C$18,-(H66),IF(F66&gt;=参数配置!$C$17,-((H66-C66)*参数配置!$D$17),IF(F66&gt;=参数配置!$C$16,-((H66-C66)*参数配置!$D$16),IF(F66&gt;=参数配置!$C$15,-((H66-C66)*参数配置!$D$15),IF(F66&lt;=参数配置!$C$23,I66+参数配置!$C$8*参数配置!$D$23,IF(F66&lt;=参数配置!$C$22,I66+参数配置!$C$8*参数配置!$D$22,IF(F66&lt;=参数配置!$C$21,I66+参数配置!$C$8*参数配置!$D$21,I66))))))),"")</f>
        <v/>
      </c>
      <c r="L66" s="17" t="n"/>
      <c r="M66" s="26" t="n"/>
      <c r="N66" s="30">
        <f>IFERROR(G66+M66,"")</f>
        <v/>
      </c>
      <c r="O66" s="7">
        <f>IFERROR(O65+L66,"")</f>
        <v/>
      </c>
      <c r="P66" s="7">
        <f>IFERROR(-L66,"")</f>
        <v/>
      </c>
      <c r="Q66" s="31" t="n"/>
    </row>
    <row r="67">
      <c r="A67" s="16" t="n"/>
      <c r="B67" s="15" t="n"/>
      <c r="C67" s="7">
        <f>IFERROR(参数配置!$C$8*B67,"")</f>
        <v/>
      </c>
      <c r="D67" s="26" t="n"/>
      <c r="E67" s="26" t="n"/>
      <c r="F67" s="27">
        <f>IFERROR((D67-E67)/E67,"")</f>
        <v/>
      </c>
      <c r="G67" s="26" t="n"/>
      <c r="H67" s="7">
        <f>IFERROR(G67*D67,"")</f>
        <v/>
      </c>
      <c r="I67" s="7">
        <f>IFERROR(IF(F67&gt;=参数配置!$C$18,0,IF(F67&lt;=参数配置!$C$21,MAX(0,MIN(C67-H67,参数配置!$C$8*参数配置!$C$13)),MAX(0,MIN(C67-H67,参数配置!$C$8*参数配置!$C$12)))),"")</f>
        <v/>
      </c>
      <c r="J67" s="28">
        <f>IFERROR(IF(F67&gt;=参数配置!$C$18,"极端清仓",IF(F67&gt;=参数配置!$C$17,"三档收割",IF(F67&gt;=参数配置!$C$16,"二档收割",IF(F67&gt;=参数配置!$C$15,"一档收割",IF(F67&lt;=参数配置!$C$23,"三档加码",IF(F67&lt;=参数配置!$C$22,"二档加码",IF(F67&lt;=参数配置!$C$21,"一档加码","正常定投"))))))),"")</f>
        <v/>
      </c>
      <c r="K67" s="29">
        <f>IFERROR(IF(F67&gt;=参数配置!$C$18,-(H67),IF(F67&gt;=参数配置!$C$17,-((H67-C67)*参数配置!$D$17),IF(F67&gt;=参数配置!$C$16,-((H67-C67)*参数配置!$D$16),IF(F67&gt;=参数配置!$C$15,-((H67-C67)*参数配置!$D$15),IF(F67&lt;=参数配置!$C$23,I67+参数配置!$C$8*参数配置!$D$23,IF(F67&lt;=参数配置!$C$22,I67+参数配置!$C$8*参数配置!$D$22,IF(F67&lt;=参数配置!$C$21,I67+参数配置!$C$8*参数配置!$D$21,I67))))))),"")</f>
        <v/>
      </c>
      <c r="L67" s="17" t="n"/>
      <c r="M67" s="26" t="n"/>
      <c r="N67" s="30">
        <f>IFERROR(G67+M67,"")</f>
        <v/>
      </c>
      <c r="O67" s="7">
        <f>IFERROR(O66+L67,"")</f>
        <v/>
      </c>
      <c r="P67" s="7">
        <f>IFERROR(-L67,"")</f>
        <v/>
      </c>
      <c r="Q67" s="31" t="n"/>
    </row>
    <row r="68">
      <c r="A68" s="16" t="n"/>
      <c r="B68" s="15" t="n"/>
      <c r="C68" s="7">
        <f>IFERROR(参数配置!$C$8*B68,"")</f>
        <v/>
      </c>
      <c r="D68" s="26" t="n"/>
      <c r="E68" s="26" t="n"/>
      <c r="F68" s="27">
        <f>IFERROR((D68-E68)/E68,"")</f>
        <v/>
      </c>
      <c r="G68" s="26" t="n"/>
      <c r="H68" s="7">
        <f>IFERROR(G68*D68,"")</f>
        <v/>
      </c>
      <c r="I68" s="7">
        <f>IFERROR(IF(F68&gt;=参数配置!$C$18,0,IF(F68&lt;=参数配置!$C$21,MAX(0,MIN(C68-H68,参数配置!$C$8*参数配置!$C$13)),MAX(0,MIN(C68-H68,参数配置!$C$8*参数配置!$C$12)))),"")</f>
        <v/>
      </c>
      <c r="J68" s="28">
        <f>IFERROR(IF(F68&gt;=参数配置!$C$18,"极端清仓",IF(F68&gt;=参数配置!$C$17,"三档收割",IF(F68&gt;=参数配置!$C$16,"二档收割",IF(F68&gt;=参数配置!$C$15,"一档收割",IF(F68&lt;=参数配置!$C$23,"三档加码",IF(F68&lt;=参数配置!$C$22,"二档加码",IF(F68&lt;=参数配置!$C$21,"一档加码","正常定投"))))))),"")</f>
        <v/>
      </c>
      <c r="K68" s="29">
        <f>IFERROR(IF(F68&gt;=参数配置!$C$18,-(H68),IF(F68&gt;=参数配置!$C$17,-((H68-C68)*参数配置!$D$17),IF(F68&gt;=参数配置!$C$16,-((H68-C68)*参数配置!$D$16),IF(F68&gt;=参数配置!$C$15,-((H68-C68)*参数配置!$D$15),IF(F68&lt;=参数配置!$C$23,I68+参数配置!$C$8*参数配置!$D$23,IF(F68&lt;=参数配置!$C$22,I68+参数配置!$C$8*参数配置!$D$22,IF(F68&lt;=参数配置!$C$21,I68+参数配置!$C$8*参数配置!$D$21,I68))))))),"")</f>
        <v/>
      </c>
      <c r="L68" s="17" t="n"/>
      <c r="M68" s="26" t="n"/>
      <c r="N68" s="30">
        <f>IFERROR(G68+M68,"")</f>
        <v/>
      </c>
      <c r="O68" s="7">
        <f>IFERROR(O67+L68,"")</f>
        <v/>
      </c>
      <c r="P68" s="7">
        <f>IFERROR(-L68,"")</f>
        <v/>
      </c>
      <c r="Q68" s="31" t="n"/>
    </row>
    <row r="69">
      <c r="A69" s="16" t="n"/>
      <c r="B69" s="15" t="n"/>
      <c r="C69" s="7">
        <f>IFERROR(参数配置!$C$8*B69,"")</f>
        <v/>
      </c>
      <c r="D69" s="26" t="n"/>
      <c r="E69" s="26" t="n"/>
      <c r="F69" s="27">
        <f>IFERROR((D69-E69)/E69,"")</f>
        <v/>
      </c>
      <c r="G69" s="26" t="n"/>
      <c r="H69" s="7">
        <f>IFERROR(G69*D69,"")</f>
        <v/>
      </c>
      <c r="I69" s="7">
        <f>IFERROR(IF(F69&gt;=参数配置!$C$18,0,IF(F69&lt;=参数配置!$C$21,MAX(0,MIN(C69-H69,参数配置!$C$8*参数配置!$C$13)),MAX(0,MIN(C69-H69,参数配置!$C$8*参数配置!$C$12)))),"")</f>
        <v/>
      </c>
      <c r="J69" s="28">
        <f>IFERROR(IF(F69&gt;=参数配置!$C$18,"极端清仓",IF(F69&gt;=参数配置!$C$17,"三档收割",IF(F69&gt;=参数配置!$C$16,"二档收割",IF(F69&gt;=参数配置!$C$15,"一档收割",IF(F69&lt;=参数配置!$C$23,"三档加码",IF(F69&lt;=参数配置!$C$22,"二档加码",IF(F69&lt;=参数配置!$C$21,"一档加码","正常定投"))))))),"")</f>
        <v/>
      </c>
      <c r="K69" s="29">
        <f>IFERROR(IF(F69&gt;=参数配置!$C$18,-(H69),IF(F69&gt;=参数配置!$C$17,-((H69-C69)*参数配置!$D$17),IF(F69&gt;=参数配置!$C$16,-((H69-C69)*参数配置!$D$16),IF(F69&gt;=参数配置!$C$15,-((H69-C69)*参数配置!$D$15),IF(F69&lt;=参数配置!$C$23,I69+参数配置!$C$8*参数配置!$D$23,IF(F69&lt;=参数配置!$C$22,I69+参数配置!$C$8*参数配置!$D$22,IF(F69&lt;=参数配置!$C$21,I69+参数配置!$C$8*参数配置!$D$21,I69))))))),"")</f>
        <v/>
      </c>
      <c r="L69" s="17" t="n"/>
      <c r="M69" s="26" t="n"/>
      <c r="N69" s="30">
        <f>IFERROR(G69+M69,"")</f>
        <v/>
      </c>
      <c r="O69" s="7">
        <f>IFERROR(O68+L69,"")</f>
        <v/>
      </c>
      <c r="P69" s="7">
        <f>IFERROR(-L69,"")</f>
        <v/>
      </c>
      <c r="Q69" s="31" t="n"/>
    </row>
    <row r="70">
      <c r="A70" s="16" t="n"/>
      <c r="B70" s="15" t="n"/>
      <c r="C70" s="7">
        <f>IFERROR(参数配置!$C$8*B70,"")</f>
        <v/>
      </c>
      <c r="D70" s="26" t="n"/>
      <c r="E70" s="26" t="n"/>
      <c r="F70" s="27">
        <f>IFERROR((D70-E70)/E70,"")</f>
        <v/>
      </c>
      <c r="G70" s="26" t="n"/>
      <c r="H70" s="7">
        <f>IFERROR(G70*D70,"")</f>
        <v/>
      </c>
      <c r="I70" s="7">
        <f>IFERROR(IF(F70&gt;=参数配置!$C$18,0,IF(F70&lt;=参数配置!$C$21,MAX(0,MIN(C70-H70,参数配置!$C$8*参数配置!$C$13)),MAX(0,MIN(C70-H70,参数配置!$C$8*参数配置!$C$12)))),"")</f>
        <v/>
      </c>
      <c r="J70" s="28">
        <f>IFERROR(IF(F70&gt;=参数配置!$C$18,"极端清仓",IF(F70&gt;=参数配置!$C$17,"三档收割",IF(F70&gt;=参数配置!$C$16,"二档收割",IF(F70&gt;=参数配置!$C$15,"一档收割",IF(F70&lt;=参数配置!$C$23,"三档加码",IF(F70&lt;=参数配置!$C$22,"二档加码",IF(F70&lt;=参数配置!$C$21,"一档加码","正常定投"))))))),"")</f>
        <v/>
      </c>
      <c r="K70" s="29">
        <f>IFERROR(IF(F70&gt;=参数配置!$C$18,-(H70),IF(F70&gt;=参数配置!$C$17,-((H70-C70)*参数配置!$D$17),IF(F70&gt;=参数配置!$C$16,-((H70-C70)*参数配置!$D$16),IF(F70&gt;=参数配置!$C$15,-((H70-C70)*参数配置!$D$15),IF(F70&lt;=参数配置!$C$23,I70+参数配置!$C$8*参数配置!$D$23,IF(F70&lt;=参数配置!$C$22,I70+参数配置!$C$8*参数配置!$D$22,IF(F70&lt;=参数配置!$C$21,I70+参数配置!$C$8*参数配置!$D$21,I70))))))),"")</f>
        <v/>
      </c>
      <c r="L70" s="17" t="n"/>
      <c r="M70" s="26" t="n"/>
      <c r="N70" s="30">
        <f>IFERROR(G70+M70,"")</f>
        <v/>
      </c>
      <c r="O70" s="7">
        <f>IFERROR(O69+L70,"")</f>
        <v/>
      </c>
      <c r="P70" s="7">
        <f>IFERROR(-L70,"")</f>
        <v/>
      </c>
      <c r="Q70" s="31" t="n"/>
    </row>
    <row r="71">
      <c r="A71" s="16" t="n"/>
      <c r="B71" s="15" t="n"/>
      <c r="C71" s="7">
        <f>IFERROR(参数配置!$C$8*B71,"")</f>
        <v/>
      </c>
      <c r="D71" s="26" t="n"/>
      <c r="E71" s="26" t="n"/>
      <c r="F71" s="27">
        <f>IFERROR((D71-E71)/E71,"")</f>
        <v/>
      </c>
      <c r="G71" s="26" t="n"/>
      <c r="H71" s="7">
        <f>IFERROR(G71*D71,"")</f>
        <v/>
      </c>
      <c r="I71" s="7">
        <f>IFERROR(IF(F71&gt;=参数配置!$C$18,0,IF(F71&lt;=参数配置!$C$21,MAX(0,MIN(C71-H71,参数配置!$C$8*参数配置!$C$13)),MAX(0,MIN(C71-H71,参数配置!$C$8*参数配置!$C$12)))),"")</f>
        <v/>
      </c>
      <c r="J71" s="28">
        <f>IFERROR(IF(F71&gt;=参数配置!$C$18,"极端清仓",IF(F71&gt;=参数配置!$C$17,"三档收割",IF(F71&gt;=参数配置!$C$16,"二档收割",IF(F71&gt;=参数配置!$C$15,"一档收割",IF(F71&lt;=参数配置!$C$23,"三档加码",IF(F71&lt;=参数配置!$C$22,"二档加码",IF(F71&lt;=参数配置!$C$21,"一档加码","正常定投"))))))),"")</f>
        <v/>
      </c>
      <c r="K71" s="29">
        <f>IFERROR(IF(F71&gt;=参数配置!$C$18,-(H71),IF(F71&gt;=参数配置!$C$17,-((H71-C71)*参数配置!$D$17),IF(F71&gt;=参数配置!$C$16,-((H71-C71)*参数配置!$D$16),IF(F71&gt;=参数配置!$C$15,-((H71-C71)*参数配置!$D$15),IF(F71&lt;=参数配置!$C$23,I71+参数配置!$C$8*参数配置!$D$23,IF(F71&lt;=参数配置!$C$22,I71+参数配置!$C$8*参数配置!$D$22,IF(F71&lt;=参数配置!$C$21,I71+参数配置!$C$8*参数配置!$D$21,I71))))))),"")</f>
        <v/>
      </c>
      <c r="L71" s="17" t="n"/>
      <c r="M71" s="26" t="n"/>
      <c r="N71" s="30">
        <f>IFERROR(G71+M71,"")</f>
        <v/>
      </c>
      <c r="O71" s="7">
        <f>IFERROR(O70+L71,"")</f>
        <v/>
      </c>
      <c r="P71" s="7">
        <f>IFERROR(-L71,"")</f>
        <v/>
      </c>
      <c r="Q71" s="31" t="n"/>
    </row>
    <row r="72">
      <c r="A72" s="16" t="n"/>
      <c r="B72" s="15" t="n"/>
      <c r="C72" s="7">
        <f>IFERROR(参数配置!$C$8*B72,"")</f>
        <v/>
      </c>
      <c r="D72" s="26" t="n"/>
      <c r="E72" s="26" t="n"/>
      <c r="F72" s="27">
        <f>IFERROR((D72-E72)/E72,"")</f>
        <v/>
      </c>
      <c r="G72" s="26" t="n"/>
      <c r="H72" s="7">
        <f>IFERROR(G72*D72,"")</f>
        <v/>
      </c>
      <c r="I72" s="7">
        <f>IFERROR(IF(F72&gt;=参数配置!$C$18,0,IF(F72&lt;=参数配置!$C$21,MAX(0,MIN(C72-H72,参数配置!$C$8*参数配置!$C$13)),MAX(0,MIN(C72-H72,参数配置!$C$8*参数配置!$C$12)))),"")</f>
        <v/>
      </c>
      <c r="J72" s="28">
        <f>IFERROR(IF(F72&gt;=参数配置!$C$18,"极端清仓",IF(F72&gt;=参数配置!$C$17,"三档收割",IF(F72&gt;=参数配置!$C$16,"二档收割",IF(F72&gt;=参数配置!$C$15,"一档收割",IF(F72&lt;=参数配置!$C$23,"三档加码",IF(F72&lt;=参数配置!$C$22,"二档加码",IF(F72&lt;=参数配置!$C$21,"一档加码","正常定投"))))))),"")</f>
        <v/>
      </c>
      <c r="K72" s="29">
        <f>IFERROR(IF(F72&gt;=参数配置!$C$18,-(H72),IF(F72&gt;=参数配置!$C$17,-((H72-C72)*参数配置!$D$17),IF(F72&gt;=参数配置!$C$16,-((H72-C72)*参数配置!$D$16),IF(F72&gt;=参数配置!$C$15,-((H72-C72)*参数配置!$D$15),IF(F72&lt;=参数配置!$C$23,I72+参数配置!$C$8*参数配置!$D$23,IF(F72&lt;=参数配置!$C$22,I72+参数配置!$C$8*参数配置!$D$22,IF(F72&lt;=参数配置!$C$21,I72+参数配置!$C$8*参数配置!$D$21,I72))))))),"")</f>
        <v/>
      </c>
      <c r="L72" s="17" t="n"/>
      <c r="M72" s="26" t="n"/>
      <c r="N72" s="30">
        <f>IFERROR(G72+M72,"")</f>
        <v/>
      </c>
      <c r="O72" s="7">
        <f>IFERROR(O71+L72,"")</f>
        <v/>
      </c>
      <c r="P72" s="7">
        <f>IFERROR(-L72,"")</f>
        <v/>
      </c>
      <c r="Q72" s="31" t="n"/>
    </row>
    <row r="73">
      <c r="A73" s="16" t="n"/>
      <c r="B73" s="15" t="n"/>
      <c r="C73" s="7">
        <f>IFERROR(参数配置!$C$8*B73,"")</f>
        <v/>
      </c>
      <c r="D73" s="26" t="n"/>
      <c r="E73" s="26" t="n"/>
      <c r="F73" s="27">
        <f>IFERROR((D73-E73)/E73,"")</f>
        <v/>
      </c>
      <c r="G73" s="26" t="n"/>
      <c r="H73" s="7">
        <f>IFERROR(G73*D73,"")</f>
        <v/>
      </c>
      <c r="I73" s="7">
        <f>IFERROR(IF(F73&gt;=参数配置!$C$18,0,IF(F73&lt;=参数配置!$C$21,MAX(0,MIN(C73-H73,参数配置!$C$8*参数配置!$C$13)),MAX(0,MIN(C73-H73,参数配置!$C$8*参数配置!$C$12)))),"")</f>
        <v/>
      </c>
      <c r="J73" s="28">
        <f>IFERROR(IF(F73&gt;=参数配置!$C$18,"极端清仓",IF(F73&gt;=参数配置!$C$17,"三档收割",IF(F73&gt;=参数配置!$C$16,"二档收割",IF(F73&gt;=参数配置!$C$15,"一档收割",IF(F73&lt;=参数配置!$C$23,"三档加码",IF(F73&lt;=参数配置!$C$22,"二档加码",IF(F73&lt;=参数配置!$C$21,"一档加码","正常定投"))))))),"")</f>
        <v/>
      </c>
      <c r="K73" s="29">
        <f>IFERROR(IF(F73&gt;=参数配置!$C$18,-(H73),IF(F73&gt;=参数配置!$C$17,-((H73-C73)*参数配置!$D$17),IF(F73&gt;=参数配置!$C$16,-((H73-C73)*参数配置!$D$16),IF(F73&gt;=参数配置!$C$15,-((H73-C73)*参数配置!$D$15),IF(F73&lt;=参数配置!$C$23,I73+参数配置!$C$8*参数配置!$D$23,IF(F73&lt;=参数配置!$C$22,I73+参数配置!$C$8*参数配置!$D$22,IF(F73&lt;=参数配置!$C$21,I73+参数配置!$C$8*参数配置!$D$21,I73))))))),"")</f>
        <v/>
      </c>
      <c r="L73" s="17" t="n"/>
      <c r="M73" s="26" t="n"/>
      <c r="N73" s="30">
        <f>IFERROR(G73+M73,"")</f>
        <v/>
      </c>
      <c r="O73" s="7">
        <f>IFERROR(O72+L73,"")</f>
        <v/>
      </c>
      <c r="P73" s="7">
        <f>IFERROR(-L73,"")</f>
        <v/>
      </c>
      <c r="Q73" s="31" t="n"/>
    </row>
    <row r="74">
      <c r="A74" s="16" t="n"/>
      <c r="B74" s="15" t="n"/>
      <c r="C74" s="7">
        <f>IFERROR(参数配置!$C$8*B74,"")</f>
        <v/>
      </c>
      <c r="D74" s="26" t="n"/>
      <c r="E74" s="26" t="n"/>
      <c r="F74" s="27">
        <f>IFERROR((D74-E74)/E74,"")</f>
        <v/>
      </c>
      <c r="G74" s="26" t="n"/>
      <c r="H74" s="7">
        <f>IFERROR(G74*D74,"")</f>
        <v/>
      </c>
      <c r="I74" s="7">
        <f>IFERROR(IF(F74&gt;=参数配置!$C$18,0,IF(F74&lt;=参数配置!$C$21,MAX(0,MIN(C74-H74,参数配置!$C$8*参数配置!$C$13)),MAX(0,MIN(C74-H74,参数配置!$C$8*参数配置!$C$12)))),"")</f>
        <v/>
      </c>
      <c r="J74" s="28">
        <f>IFERROR(IF(F74&gt;=参数配置!$C$18,"极端清仓",IF(F74&gt;=参数配置!$C$17,"三档收割",IF(F74&gt;=参数配置!$C$16,"二档收割",IF(F74&gt;=参数配置!$C$15,"一档收割",IF(F74&lt;=参数配置!$C$23,"三档加码",IF(F74&lt;=参数配置!$C$22,"二档加码",IF(F74&lt;=参数配置!$C$21,"一档加码","正常定投"))))))),"")</f>
        <v/>
      </c>
      <c r="K74" s="29">
        <f>IFERROR(IF(F74&gt;=参数配置!$C$18,-(H74),IF(F74&gt;=参数配置!$C$17,-((H74-C74)*参数配置!$D$17),IF(F74&gt;=参数配置!$C$16,-((H74-C74)*参数配置!$D$16),IF(F74&gt;=参数配置!$C$15,-((H74-C74)*参数配置!$D$15),IF(F74&lt;=参数配置!$C$23,I74+参数配置!$C$8*参数配置!$D$23,IF(F74&lt;=参数配置!$C$22,I74+参数配置!$C$8*参数配置!$D$22,IF(F74&lt;=参数配置!$C$21,I74+参数配置!$C$8*参数配置!$D$21,I74))))))),"")</f>
        <v/>
      </c>
      <c r="L74" s="17" t="n"/>
      <c r="M74" s="26" t="n"/>
      <c r="N74" s="30">
        <f>IFERROR(G74+M74,"")</f>
        <v/>
      </c>
      <c r="O74" s="7">
        <f>IFERROR(O73+L74,"")</f>
        <v/>
      </c>
      <c r="P74" s="7">
        <f>IFERROR(-L74,"")</f>
        <v/>
      </c>
      <c r="Q74" s="31" t="n"/>
    </row>
    <row r="75">
      <c r="A75" s="16" t="n"/>
      <c r="B75" s="15" t="n"/>
      <c r="C75" s="7">
        <f>IFERROR(参数配置!$C$8*B75,"")</f>
        <v/>
      </c>
      <c r="D75" s="26" t="n"/>
      <c r="E75" s="26" t="n"/>
      <c r="F75" s="27">
        <f>IFERROR((D75-E75)/E75,"")</f>
        <v/>
      </c>
      <c r="G75" s="26" t="n"/>
      <c r="H75" s="7">
        <f>IFERROR(G75*D75,"")</f>
        <v/>
      </c>
      <c r="I75" s="7">
        <f>IFERROR(IF(F75&gt;=参数配置!$C$18,0,IF(F75&lt;=参数配置!$C$21,MAX(0,MIN(C75-H75,参数配置!$C$8*参数配置!$C$13)),MAX(0,MIN(C75-H75,参数配置!$C$8*参数配置!$C$12)))),"")</f>
        <v/>
      </c>
      <c r="J75" s="28">
        <f>IFERROR(IF(F75&gt;=参数配置!$C$18,"极端清仓",IF(F75&gt;=参数配置!$C$17,"三档收割",IF(F75&gt;=参数配置!$C$16,"二档收割",IF(F75&gt;=参数配置!$C$15,"一档收割",IF(F75&lt;=参数配置!$C$23,"三档加码",IF(F75&lt;=参数配置!$C$22,"二档加码",IF(F75&lt;=参数配置!$C$21,"一档加码","正常定投"))))))),"")</f>
        <v/>
      </c>
      <c r="K75" s="29">
        <f>IFERROR(IF(F75&gt;=参数配置!$C$18,-(H75),IF(F75&gt;=参数配置!$C$17,-((H75-C75)*参数配置!$D$17),IF(F75&gt;=参数配置!$C$16,-((H75-C75)*参数配置!$D$16),IF(F75&gt;=参数配置!$C$15,-((H75-C75)*参数配置!$D$15),IF(F75&lt;=参数配置!$C$23,I75+参数配置!$C$8*参数配置!$D$23,IF(F75&lt;=参数配置!$C$22,I75+参数配置!$C$8*参数配置!$D$22,IF(F75&lt;=参数配置!$C$21,I75+参数配置!$C$8*参数配置!$D$21,I75))))))),"")</f>
        <v/>
      </c>
      <c r="L75" s="17" t="n"/>
      <c r="M75" s="26" t="n"/>
      <c r="N75" s="30">
        <f>IFERROR(G75+M75,"")</f>
        <v/>
      </c>
      <c r="O75" s="7">
        <f>IFERROR(O74+L75,"")</f>
        <v/>
      </c>
      <c r="P75" s="7">
        <f>IFERROR(-L75,"")</f>
        <v/>
      </c>
      <c r="Q75" s="31" t="n"/>
    </row>
    <row r="76">
      <c r="A76" s="16" t="n"/>
      <c r="B76" s="15" t="n"/>
      <c r="C76" s="7">
        <f>IFERROR(参数配置!$C$8*B76,"")</f>
        <v/>
      </c>
      <c r="D76" s="26" t="n"/>
      <c r="E76" s="26" t="n"/>
      <c r="F76" s="27">
        <f>IFERROR((D76-E76)/E76,"")</f>
        <v/>
      </c>
      <c r="G76" s="26" t="n"/>
      <c r="H76" s="7">
        <f>IFERROR(G76*D76,"")</f>
        <v/>
      </c>
      <c r="I76" s="7">
        <f>IFERROR(IF(F76&gt;=参数配置!$C$18,0,IF(F76&lt;=参数配置!$C$21,MAX(0,MIN(C76-H76,参数配置!$C$8*参数配置!$C$13)),MAX(0,MIN(C76-H76,参数配置!$C$8*参数配置!$C$12)))),"")</f>
        <v/>
      </c>
      <c r="J76" s="28">
        <f>IFERROR(IF(F76&gt;=参数配置!$C$18,"极端清仓",IF(F76&gt;=参数配置!$C$17,"三档收割",IF(F76&gt;=参数配置!$C$16,"二档收割",IF(F76&gt;=参数配置!$C$15,"一档收割",IF(F76&lt;=参数配置!$C$23,"三档加码",IF(F76&lt;=参数配置!$C$22,"二档加码",IF(F76&lt;=参数配置!$C$21,"一档加码","正常定投"))))))),"")</f>
        <v/>
      </c>
      <c r="K76" s="29">
        <f>IFERROR(IF(F76&gt;=参数配置!$C$18,-(H76),IF(F76&gt;=参数配置!$C$17,-((H76-C76)*参数配置!$D$17),IF(F76&gt;=参数配置!$C$16,-((H76-C76)*参数配置!$D$16),IF(F76&gt;=参数配置!$C$15,-((H76-C76)*参数配置!$D$15),IF(F76&lt;=参数配置!$C$23,I76+参数配置!$C$8*参数配置!$D$23,IF(F76&lt;=参数配置!$C$22,I76+参数配置!$C$8*参数配置!$D$22,IF(F76&lt;=参数配置!$C$21,I76+参数配置!$C$8*参数配置!$D$21,I76))))))),"")</f>
        <v/>
      </c>
      <c r="L76" s="17" t="n"/>
      <c r="M76" s="26" t="n"/>
      <c r="N76" s="30">
        <f>IFERROR(G76+M76,"")</f>
        <v/>
      </c>
      <c r="O76" s="7">
        <f>IFERROR(O75+L76,"")</f>
        <v/>
      </c>
      <c r="P76" s="7">
        <f>IFERROR(-L76,"")</f>
        <v/>
      </c>
      <c r="Q76" s="31" t="n"/>
    </row>
    <row r="77">
      <c r="A77" s="16" t="n"/>
      <c r="B77" s="15" t="n"/>
      <c r="C77" s="7">
        <f>IFERROR(参数配置!$C$8*B77,"")</f>
        <v/>
      </c>
      <c r="D77" s="26" t="n"/>
      <c r="E77" s="26" t="n"/>
      <c r="F77" s="27">
        <f>IFERROR((D77-E77)/E77,"")</f>
        <v/>
      </c>
      <c r="G77" s="26" t="n"/>
      <c r="H77" s="7">
        <f>IFERROR(G77*D77,"")</f>
        <v/>
      </c>
      <c r="I77" s="7">
        <f>IFERROR(IF(F77&gt;=参数配置!$C$18,0,IF(F77&lt;=参数配置!$C$21,MAX(0,MIN(C77-H77,参数配置!$C$8*参数配置!$C$13)),MAX(0,MIN(C77-H77,参数配置!$C$8*参数配置!$C$12)))),"")</f>
        <v/>
      </c>
      <c r="J77" s="28">
        <f>IFERROR(IF(F77&gt;=参数配置!$C$18,"极端清仓",IF(F77&gt;=参数配置!$C$17,"三档收割",IF(F77&gt;=参数配置!$C$16,"二档收割",IF(F77&gt;=参数配置!$C$15,"一档收割",IF(F77&lt;=参数配置!$C$23,"三档加码",IF(F77&lt;=参数配置!$C$22,"二档加码",IF(F77&lt;=参数配置!$C$21,"一档加码","正常定投"))))))),"")</f>
        <v/>
      </c>
      <c r="K77" s="29">
        <f>IFERROR(IF(F77&gt;=参数配置!$C$18,-(H77),IF(F77&gt;=参数配置!$C$17,-((H77-C77)*参数配置!$D$17),IF(F77&gt;=参数配置!$C$16,-((H77-C77)*参数配置!$D$16),IF(F77&gt;=参数配置!$C$15,-((H77-C77)*参数配置!$D$15),IF(F77&lt;=参数配置!$C$23,I77+参数配置!$C$8*参数配置!$D$23,IF(F77&lt;=参数配置!$C$22,I77+参数配置!$C$8*参数配置!$D$22,IF(F77&lt;=参数配置!$C$21,I77+参数配置!$C$8*参数配置!$D$21,I77))))))),"")</f>
        <v/>
      </c>
      <c r="L77" s="17" t="n"/>
      <c r="M77" s="26" t="n"/>
      <c r="N77" s="30">
        <f>IFERROR(G77+M77,"")</f>
        <v/>
      </c>
      <c r="O77" s="7">
        <f>IFERROR(O76+L77,"")</f>
        <v/>
      </c>
      <c r="P77" s="7">
        <f>IFERROR(-L77,"")</f>
        <v/>
      </c>
      <c r="Q77" s="31" t="n"/>
    </row>
    <row r="78">
      <c r="A78" s="16" t="n"/>
      <c r="B78" s="15" t="n"/>
      <c r="C78" s="7">
        <f>IFERROR(参数配置!$C$8*B78,"")</f>
        <v/>
      </c>
      <c r="D78" s="26" t="n"/>
      <c r="E78" s="26" t="n"/>
      <c r="F78" s="27">
        <f>IFERROR((D78-E78)/E78,"")</f>
        <v/>
      </c>
      <c r="G78" s="26" t="n"/>
      <c r="H78" s="7">
        <f>IFERROR(G78*D78,"")</f>
        <v/>
      </c>
      <c r="I78" s="7">
        <f>IFERROR(IF(F78&gt;=参数配置!$C$18,0,IF(F78&lt;=参数配置!$C$21,MAX(0,MIN(C78-H78,参数配置!$C$8*参数配置!$C$13)),MAX(0,MIN(C78-H78,参数配置!$C$8*参数配置!$C$12)))),"")</f>
        <v/>
      </c>
      <c r="J78" s="28">
        <f>IFERROR(IF(F78&gt;=参数配置!$C$18,"极端清仓",IF(F78&gt;=参数配置!$C$17,"三档收割",IF(F78&gt;=参数配置!$C$16,"二档收割",IF(F78&gt;=参数配置!$C$15,"一档收割",IF(F78&lt;=参数配置!$C$23,"三档加码",IF(F78&lt;=参数配置!$C$22,"二档加码",IF(F78&lt;=参数配置!$C$21,"一档加码","正常定投"))))))),"")</f>
        <v/>
      </c>
      <c r="K78" s="29">
        <f>IFERROR(IF(F78&gt;=参数配置!$C$18,-(H78),IF(F78&gt;=参数配置!$C$17,-((H78-C78)*参数配置!$D$17),IF(F78&gt;=参数配置!$C$16,-((H78-C78)*参数配置!$D$16),IF(F78&gt;=参数配置!$C$15,-((H78-C78)*参数配置!$D$15),IF(F78&lt;=参数配置!$C$23,I78+参数配置!$C$8*参数配置!$D$23,IF(F78&lt;=参数配置!$C$22,I78+参数配置!$C$8*参数配置!$D$22,IF(F78&lt;=参数配置!$C$21,I78+参数配置!$C$8*参数配置!$D$21,I78))))))),"")</f>
        <v/>
      </c>
      <c r="L78" s="17" t="n"/>
      <c r="M78" s="26" t="n"/>
      <c r="N78" s="30">
        <f>IFERROR(G78+M78,"")</f>
        <v/>
      </c>
      <c r="O78" s="7">
        <f>IFERROR(O77+L78,"")</f>
        <v/>
      </c>
      <c r="P78" s="7">
        <f>IFERROR(-L78,"")</f>
        <v/>
      </c>
      <c r="Q78" s="31" t="n"/>
    </row>
    <row r="79">
      <c r="A79" s="16" t="n"/>
      <c r="B79" s="15" t="n"/>
      <c r="C79" s="7">
        <f>IFERROR(参数配置!$C$8*B79,"")</f>
        <v/>
      </c>
      <c r="D79" s="26" t="n"/>
      <c r="E79" s="26" t="n"/>
      <c r="F79" s="27">
        <f>IFERROR((D79-E79)/E79,"")</f>
        <v/>
      </c>
      <c r="G79" s="26" t="n"/>
      <c r="H79" s="7">
        <f>IFERROR(G79*D79,"")</f>
        <v/>
      </c>
      <c r="I79" s="7">
        <f>IFERROR(IF(F79&gt;=参数配置!$C$18,0,IF(F79&lt;=参数配置!$C$21,MAX(0,MIN(C79-H79,参数配置!$C$8*参数配置!$C$13)),MAX(0,MIN(C79-H79,参数配置!$C$8*参数配置!$C$12)))),"")</f>
        <v/>
      </c>
      <c r="J79" s="28">
        <f>IFERROR(IF(F79&gt;=参数配置!$C$18,"极端清仓",IF(F79&gt;=参数配置!$C$17,"三档收割",IF(F79&gt;=参数配置!$C$16,"二档收割",IF(F79&gt;=参数配置!$C$15,"一档收割",IF(F79&lt;=参数配置!$C$23,"三档加码",IF(F79&lt;=参数配置!$C$22,"二档加码",IF(F79&lt;=参数配置!$C$21,"一档加码","正常定投"))))))),"")</f>
        <v/>
      </c>
      <c r="K79" s="29">
        <f>IFERROR(IF(F79&gt;=参数配置!$C$18,-(H79),IF(F79&gt;=参数配置!$C$17,-((H79-C79)*参数配置!$D$17),IF(F79&gt;=参数配置!$C$16,-((H79-C79)*参数配置!$D$16),IF(F79&gt;=参数配置!$C$15,-((H79-C79)*参数配置!$D$15),IF(F79&lt;=参数配置!$C$23,I79+参数配置!$C$8*参数配置!$D$23,IF(F79&lt;=参数配置!$C$22,I79+参数配置!$C$8*参数配置!$D$22,IF(F79&lt;=参数配置!$C$21,I79+参数配置!$C$8*参数配置!$D$21,I79))))))),"")</f>
        <v/>
      </c>
      <c r="L79" s="17" t="n"/>
      <c r="M79" s="26" t="n"/>
      <c r="N79" s="30">
        <f>IFERROR(G79+M79,"")</f>
        <v/>
      </c>
      <c r="O79" s="7">
        <f>IFERROR(O78+L79,"")</f>
        <v/>
      </c>
      <c r="P79" s="7">
        <f>IFERROR(-L79,"")</f>
        <v/>
      </c>
      <c r="Q79" s="31" t="n"/>
    </row>
    <row r="80">
      <c r="A80" s="16" t="n"/>
      <c r="B80" s="15" t="n"/>
      <c r="C80" s="7">
        <f>IFERROR(参数配置!$C$8*B80,"")</f>
        <v/>
      </c>
      <c r="D80" s="26" t="n"/>
      <c r="E80" s="26" t="n"/>
      <c r="F80" s="27">
        <f>IFERROR((D80-E80)/E80,"")</f>
        <v/>
      </c>
      <c r="G80" s="26" t="n"/>
      <c r="H80" s="7">
        <f>IFERROR(G80*D80,"")</f>
        <v/>
      </c>
      <c r="I80" s="7">
        <f>IFERROR(IF(F80&gt;=参数配置!$C$18,0,IF(F80&lt;=参数配置!$C$21,MAX(0,MIN(C80-H80,参数配置!$C$8*参数配置!$C$13)),MAX(0,MIN(C80-H80,参数配置!$C$8*参数配置!$C$12)))),"")</f>
        <v/>
      </c>
      <c r="J80" s="28">
        <f>IFERROR(IF(F80&gt;=参数配置!$C$18,"极端清仓",IF(F80&gt;=参数配置!$C$17,"三档收割",IF(F80&gt;=参数配置!$C$16,"二档收割",IF(F80&gt;=参数配置!$C$15,"一档收割",IF(F80&lt;=参数配置!$C$23,"三档加码",IF(F80&lt;=参数配置!$C$22,"二档加码",IF(F80&lt;=参数配置!$C$21,"一档加码","正常定投"))))))),"")</f>
        <v/>
      </c>
      <c r="K80" s="29">
        <f>IFERROR(IF(F80&gt;=参数配置!$C$18,-(H80),IF(F80&gt;=参数配置!$C$17,-((H80-C80)*参数配置!$D$17),IF(F80&gt;=参数配置!$C$16,-((H80-C80)*参数配置!$D$16),IF(F80&gt;=参数配置!$C$15,-((H80-C80)*参数配置!$D$15),IF(F80&lt;=参数配置!$C$23,I80+参数配置!$C$8*参数配置!$D$23,IF(F80&lt;=参数配置!$C$22,I80+参数配置!$C$8*参数配置!$D$22,IF(F80&lt;=参数配置!$C$21,I80+参数配置!$C$8*参数配置!$D$21,I80))))))),"")</f>
        <v/>
      </c>
      <c r="L80" s="17" t="n"/>
      <c r="M80" s="26" t="n"/>
      <c r="N80" s="30">
        <f>IFERROR(G80+M80,"")</f>
        <v/>
      </c>
      <c r="O80" s="7">
        <f>IFERROR(O79+L80,"")</f>
        <v/>
      </c>
      <c r="P80" s="7">
        <f>IFERROR(-L80,"")</f>
        <v/>
      </c>
      <c r="Q80" s="31" t="n"/>
    </row>
    <row r="81">
      <c r="A81" s="16" t="n"/>
      <c r="B81" s="15" t="n"/>
      <c r="C81" s="7">
        <f>IFERROR(参数配置!$C$8*B81,"")</f>
        <v/>
      </c>
      <c r="D81" s="26" t="n"/>
      <c r="E81" s="26" t="n"/>
      <c r="F81" s="27">
        <f>IFERROR((D81-E81)/E81,"")</f>
        <v/>
      </c>
      <c r="G81" s="26" t="n"/>
      <c r="H81" s="7">
        <f>IFERROR(G81*D81,"")</f>
        <v/>
      </c>
      <c r="I81" s="7">
        <f>IFERROR(IF(F81&gt;=参数配置!$C$18,0,IF(F81&lt;=参数配置!$C$21,MAX(0,MIN(C81-H81,参数配置!$C$8*参数配置!$C$13)),MAX(0,MIN(C81-H81,参数配置!$C$8*参数配置!$C$12)))),"")</f>
        <v/>
      </c>
      <c r="J81" s="28">
        <f>IFERROR(IF(F81&gt;=参数配置!$C$18,"极端清仓",IF(F81&gt;=参数配置!$C$17,"三档收割",IF(F81&gt;=参数配置!$C$16,"二档收割",IF(F81&gt;=参数配置!$C$15,"一档收割",IF(F81&lt;=参数配置!$C$23,"三档加码",IF(F81&lt;=参数配置!$C$22,"二档加码",IF(F81&lt;=参数配置!$C$21,"一档加码","正常定投"))))))),"")</f>
        <v/>
      </c>
      <c r="K81" s="29">
        <f>IFERROR(IF(F81&gt;=参数配置!$C$18,-(H81),IF(F81&gt;=参数配置!$C$17,-((H81-C81)*参数配置!$D$17),IF(F81&gt;=参数配置!$C$16,-((H81-C81)*参数配置!$D$16),IF(F81&gt;=参数配置!$C$15,-((H81-C81)*参数配置!$D$15),IF(F81&lt;=参数配置!$C$23,I81+参数配置!$C$8*参数配置!$D$23,IF(F81&lt;=参数配置!$C$22,I81+参数配置!$C$8*参数配置!$D$22,IF(F81&lt;=参数配置!$C$21,I81+参数配置!$C$8*参数配置!$D$21,I81))))))),"")</f>
        <v/>
      </c>
      <c r="L81" s="17" t="n"/>
      <c r="M81" s="26" t="n"/>
      <c r="N81" s="30">
        <f>IFERROR(G81+M81,"")</f>
        <v/>
      </c>
      <c r="O81" s="7">
        <f>IFERROR(O80+L81,"")</f>
        <v/>
      </c>
      <c r="P81" s="7">
        <f>IFERROR(-L81,"")</f>
        <v/>
      </c>
      <c r="Q81" s="31" t="n"/>
    </row>
    <row r="82">
      <c r="A82" s="16" t="n"/>
      <c r="B82" s="15" t="n"/>
      <c r="C82" s="7">
        <f>IFERROR(参数配置!$C$8*B82,"")</f>
        <v/>
      </c>
      <c r="D82" s="26" t="n"/>
      <c r="E82" s="26" t="n"/>
      <c r="F82" s="27">
        <f>IFERROR((D82-E82)/E82,"")</f>
        <v/>
      </c>
      <c r="G82" s="26" t="n"/>
      <c r="H82" s="7">
        <f>IFERROR(G82*D82,"")</f>
        <v/>
      </c>
      <c r="I82" s="7">
        <f>IFERROR(IF(F82&gt;=参数配置!$C$18,0,IF(F82&lt;=参数配置!$C$21,MAX(0,MIN(C82-H82,参数配置!$C$8*参数配置!$C$13)),MAX(0,MIN(C82-H82,参数配置!$C$8*参数配置!$C$12)))),"")</f>
        <v/>
      </c>
      <c r="J82" s="28">
        <f>IFERROR(IF(F82&gt;=参数配置!$C$18,"极端清仓",IF(F82&gt;=参数配置!$C$17,"三档收割",IF(F82&gt;=参数配置!$C$16,"二档收割",IF(F82&gt;=参数配置!$C$15,"一档收割",IF(F82&lt;=参数配置!$C$23,"三档加码",IF(F82&lt;=参数配置!$C$22,"二档加码",IF(F82&lt;=参数配置!$C$21,"一档加码","正常定投"))))))),"")</f>
        <v/>
      </c>
      <c r="K82" s="29">
        <f>IFERROR(IF(F82&gt;=参数配置!$C$18,-(H82),IF(F82&gt;=参数配置!$C$17,-((H82-C82)*参数配置!$D$17),IF(F82&gt;=参数配置!$C$16,-((H82-C82)*参数配置!$D$16),IF(F82&gt;=参数配置!$C$15,-((H82-C82)*参数配置!$D$15),IF(F82&lt;=参数配置!$C$23,I82+参数配置!$C$8*参数配置!$D$23,IF(F82&lt;=参数配置!$C$22,I82+参数配置!$C$8*参数配置!$D$22,IF(F82&lt;=参数配置!$C$21,I82+参数配置!$C$8*参数配置!$D$21,I82))))))),"")</f>
        <v/>
      </c>
      <c r="L82" s="17" t="n"/>
      <c r="M82" s="26" t="n"/>
      <c r="N82" s="30">
        <f>IFERROR(G82+M82,"")</f>
        <v/>
      </c>
      <c r="O82" s="7">
        <f>IFERROR(O81+L82,"")</f>
        <v/>
      </c>
      <c r="P82" s="7">
        <f>IFERROR(-L82,"")</f>
        <v/>
      </c>
      <c r="Q82" s="31" t="n"/>
    </row>
    <row r="83">
      <c r="A83" s="16" t="n"/>
      <c r="B83" s="15" t="n"/>
      <c r="C83" s="7">
        <f>IFERROR(参数配置!$C$8*B83,"")</f>
        <v/>
      </c>
      <c r="D83" s="26" t="n"/>
      <c r="E83" s="26" t="n"/>
      <c r="F83" s="27">
        <f>IFERROR((D83-E83)/E83,"")</f>
        <v/>
      </c>
      <c r="G83" s="26" t="n"/>
      <c r="H83" s="7">
        <f>IFERROR(G83*D83,"")</f>
        <v/>
      </c>
      <c r="I83" s="7">
        <f>IFERROR(IF(F83&gt;=参数配置!$C$18,0,IF(F83&lt;=参数配置!$C$21,MAX(0,MIN(C83-H83,参数配置!$C$8*参数配置!$C$13)),MAX(0,MIN(C83-H83,参数配置!$C$8*参数配置!$C$12)))),"")</f>
        <v/>
      </c>
      <c r="J83" s="28">
        <f>IFERROR(IF(F83&gt;=参数配置!$C$18,"极端清仓",IF(F83&gt;=参数配置!$C$17,"三档收割",IF(F83&gt;=参数配置!$C$16,"二档收割",IF(F83&gt;=参数配置!$C$15,"一档收割",IF(F83&lt;=参数配置!$C$23,"三档加码",IF(F83&lt;=参数配置!$C$22,"二档加码",IF(F83&lt;=参数配置!$C$21,"一档加码","正常定投"))))))),"")</f>
        <v/>
      </c>
      <c r="K83" s="29">
        <f>IFERROR(IF(F83&gt;=参数配置!$C$18,-(H83),IF(F83&gt;=参数配置!$C$17,-((H83-C83)*参数配置!$D$17),IF(F83&gt;=参数配置!$C$16,-((H83-C83)*参数配置!$D$16),IF(F83&gt;=参数配置!$C$15,-((H83-C83)*参数配置!$D$15),IF(F83&lt;=参数配置!$C$23,I83+参数配置!$C$8*参数配置!$D$23,IF(F83&lt;=参数配置!$C$22,I83+参数配置!$C$8*参数配置!$D$22,IF(F83&lt;=参数配置!$C$21,I83+参数配置!$C$8*参数配置!$D$21,I83))))))),"")</f>
        <v/>
      </c>
      <c r="L83" s="17" t="n"/>
      <c r="M83" s="26" t="n"/>
      <c r="N83" s="30">
        <f>IFERROR(G83+M83,"")</f>
        <v/>
      </c>
      <c r="O83" s="7">
        <f>IFERROR(O82+L83,"")</f>
        <v/>
      </c>
      <c r="P83" s="7">
        <f>IFERROR(-L83,"")</f>
        <v/>
      </c>
      <c r="Q83" s="31" t="n"/>
    </row>
    <row r="84">
      <c r="A84" s="16" t="n"/>
      <c r="B84" s="15" t="n"/>
      <c r="C84" s="7">
        <f>IFERROR(参数配置!$C$8*B84,"")</f>
        <v/>
      </c>
      <c r="D84" s="26" t="n"/>
      <c r="E84" s="26" t="n"/>
      <c r="F84" s="27">
        <f>IFERROR((D84-E84)/E84,"")</f>
        <v/>
      </c>
      <c r="G84" s="26" t="n"/>
      <c r="H84" s="7">
        <f>IFERROR(G84*D84,"")</f>
        <v/>
      </c>
      <c r="I84" s="7">
        <f>IFERROR(IF(F84&gt;=参数配置!$C$18,0,IF(F84&lt;=参数配置!$C$21,MAX(0,MIN(C84-H84,参数配置!$C$8*参数配置!$C$13)),MAX(0,MIN(C84-H84,参数配置!$C$8*参数配置!$C$12)))),"")</f>
        <v/>
      </c>
      <c r="J84" s="28">
        <f>IFERROR(IF(F84&gt;=参数配置!$C$18,"极端清仓",IF(F84&gt;=参数配置!$C$17,"三档收割",IF(F84&gt;=参数配置!$C$16,"二档收割",IF(F84&gt;=参数配置!$C$15,"一档收割",IF(F84&lt;=参数配置!$C$23,"三档加码",IF(F84&lt;=参数配置!$C$22,"二档加码",IF(F84&lt;=参数配置!$C$21,"一档加码","正常定投"))))))),"")</f>
        <v/>
      </c>
      <c r="K84" s="29">
        <f>IFERROR(IF(F84&gt;=参数配置!$C$18,-(H84),IF(F84&gt;=参数配置!$C$17,-((H84-C84)*参数配置!$D$17),IF(F84&gt;=参数配置!$C$16,-((H84-C84)*参数配置!$D$16),IF(F84&gt;=参数配置!$C$15,-((H84-C84)*参数配置!$D$15),IF(F84&lt;=参数配置!$C$23,I84+参数配置!$C$8*参数配置!$D$23,IF(F84&lt;=参数配置!$C$22,I84+参数配置!$C$8*参数配置!$D$22,IF(F84&lt;=参数配置!$C$21,I84+参数配置!$C$8*参数配置!$D$21,I84))))))),"")</f>
        <v/>
      </c>
      <c r="L84" s="17" t="n"/>
      <c r="M84" s="26" t="n"/>
      <c r="N84" s="30">
        <f>IFERROR(G84+M84,"")</f>
        <v/>
      </c>
      <c r="O84" s="7">
        <f>IFERROR(O83+L84,"")</f>
        <v/>
      </c>
      <c r="P84" s="7">
        <f>IFERROR(-L84,"")</f>
        <v/>
      </c>
      <c r="Q84" s="31" t="n"/>
    </row>
    <row r="85">
      <c r="A85" s="16" t="n"/>
      <c r="B85" s="15" t="n"/>
      <c r="C85" s="7">
        <f>IFERROR(参数配置!$C$8*B85,"")</f>
        <v/>
      </c>
      <c r="D85" s="26" t="n"/>
      <c r="E85" s="26" t="n"/>
      <c r="F85" s="27">
        <f>IFERROR((D85-E85)/E85,"")</f>
        <v/>
      </c>
      <c r="G85" s="26" t="n"/>
      <c r="H85" s="7">
        <f>IFERROR(G85*D85,"")</f>
        <v/>
      </c>
      <c r="I85" s="7">
        <f>IFERROR(IF(F85&gt;=参数配置!$C$18,0,IF(F85&lt;=参数配置!$C$21,MAX(0,MIN(C85-H85,参数配置!$C$8*参数配置!$C$13)),MAX(0,MIN(C85-H85,参数配置!$C$8*参数配置!$C$12)))),"")</f>
        <v/>
      </c>
      <c r="J85" s="28">
        <f>IFERROR(IF(F85&gt;=参数配置!$C$18,"极端清仓",IF(F85&gt;=参数配置!$C$17,"三档收割",IF(F85&gt;=参数配置!$C$16,"二档收割",IF(F85&gt;=参数配置!$C$15,"一档收割",IF(F85&lt;=参数配置!$C$23,"三档加码",IF(F85&lt;=参数配置!$C$22,"二档加码",IF(F85&lt;=参数配置!$C$21,"一档加码","正常定投"))))))),"")</f>
        <v/>
      </c>
      <c r="K85" s="29">
        <f>IFERROR(IF(F85&gt;=参数配置!$C$18,-(H85),IF(F85&gt;=参数配置!$C$17,-((H85-C85)*参数配置!$D$17),IF(F85&gt;=参数配置!$C$16,-((H85-C85)*参数配置!$D$16),IF(F85&gt;=参数配置!$C$15,-((H85-C85)*参数配置!$D$15),IF(F85&lt;=参数配置!$C$23,I85+参数配置!$C$8*参数配置!$D$23,IF(F85&lt;=参数配置!$C$22,I85+参数配置!$C$8*参数配置!$D$22,IF(F85&lt;=参数配置!$C$21,I85+参数配置!$C$8*参数配置!$D$21,I85))))))),"")</f>
        <v/>
      </c>
      <c r="L85" s="17" t="n"/>
      <c r="M85" s="26" t="n"/>
      <c r="N85" s="30">
        <f>IFERROR(G85+M85,"")</f>
        <v/>
      </c>
      <c r="O85" s="7">
        <f>IFERROR(O84+L85,"")</f>
        <v/>
      </c>
      <c r="P85" s="7">
        <f>IFERROR(-L85,"")</f>
        <v/>
      </c>
      <c r="Q85" s="31" t="n"/>
    </row>
    <row r="86">
      <c r="A86" s="16" t="n"/>
      <c r="B86" s="15" t="n"/>
      <c r="C86" s="7">
        <f>IFERROR(参数配置!$C$8*B86,"")</f>
        <v/>
      </c>
      <c r="D86" s="26" t="n"/>
      <c r="E86" s="26" t="n"/>
      <c r="F86" s="27">
        <f>IFERROR((D86-E86)/E86,"")</f>
        <v/>
      </c>
      <c r="G86" s="26" t="n"/>
      <c r="H86" s="7">
        <f>IFERROR(G86*D86,"")</f>
        <v/>
      </c>
      <c r="I86" s="7">
        <f>IFERROR(IF(F86&gt;=参数配置!$C$18,0,IF(F86&lt;=参数配置!$C$21,MAX(0,MIN(C86-H86,参数配置!$C$8*参数配置!$C$13)),MAX(0,MIN(C86-H86,参数配置!$C$8*参数配置!$C$12)))),"")</f>
        <v/>
      </c>
      <c r="J86" s="28">
        <f>IFERROR(IF(F86&gt;=参数配置!$C$18,"极端清仓",IF(F86&gt;=参数配置!$C$17,"三档收割",IF(F86&gt;=参数配置!$C$16,"二档收割",IF(F86&gt;=参数配置!$C$15,"一档收割",IF(F86&lt;=参数配置!$C$23,"三档加码",IF(F86&lt;=参数配置!$C$22,"二档加码",IF(F86&lt;=参数配置!$C$21,"一档加码","正常定投"))))))),"")</f>
        <v/>
      </c>
      <c r="K86" s="29">
        <f>IFERROR(IF(F86&gt;=参数配置!$C$18,-(H86),IF(F86&gt;=参数配置!$C$17,-((H86-C86)*参数配置!$D$17),IF(F86&gt;=参数配置!$C$16,-((H86-C86)*参数配置!$D$16),IF(F86&gt;=参数配置!$C$15,-((H86-C86)*参数配置!$D$15),IF(F86&lt;=参数配置!$C$23,I86+参数配置!$C$8*参数配置!$D$23,IF(F86&lt;=参数配置!$C$22,I86+参数配置!$C$8*参数配置!$D$22,IF(F86&lt;=参数配置!$C$21,I86+参数配置!$C$8*参数配置!$D$21,I86))))))),"")</f>
        <v/>
      </c>
      <c r="L86" s="17" t="n"/>
      <c r="M86" s="26" t="n"/>
      <c r="N86" s="30">
        <f>IFERROR(G86+M86,"")</f>
        <v/>
      </c>
      <c r="O86" s="7">
        <f>IFERROR(O85+L86,"")</f>
        <v/>
      </c>
      <c r="P86" s="7">
        <f>IFERROR(-L86,"")</f>
        <v/>
      </c>
      <c r="Q86" s="31" t="n"/>
    </row>
    <row r="87">
      <c r="A87" s="16" t="n"/>
      <c r="B87" s="15" t="n"/>
      <c r="C87" s="7">
        <f>IFERROR(参数配置!$C$8*B87,"")</f>
        <v/>
      </c>
      <c r="D87" s="26" t="n"/>
      <c r="E87" s="26" t="n"/>
      <c r="F87" s="27">
        <f>IFERROR((D87-E87)/E87,"")</f>
        <v/>
      </c>
      <c r="G87" s="26" t="n"/>
      <c r="H87" s="7">
        <f>IFERROR(G87*D87,"")</f>
        <v/>
      </c>
      <c r="I87" s="7">
        <f>IFERROR(IF(F87&gt;=参数配置!$C$18,0,IF(F87&lt;=参数配置!$C$21,MAX(0,MIN(C87-H87,参数配置!$C$8*参数配置!$C$13)),MAX(0,MIN(C87-H87,参数配置!$C$8*参数配置!$C$12)))),"")</f>
        <v/>
      </c>
      <c r="J87" s="28">
        <f>IFERROR(IF(F87&gt;=参数配置!$C$18,"极端清仓",IF(F87&gt;=参数配置!$C$17,"三档收割",IF(F87&gt;=参数配置!$C$16,"二档收割",IF(F87&gt;=参数配置!$C$15,"一档收割",IF(F87&lt;=参数配置!$C$23,"三档加码",IF(F87&lt;=参数配置!$C$22,"二档加码",IF(F87&lt;=参数配置!$C$21,"一档加码","正常定投"))))))),"")</f>
        <v/>
      </c>
      <c r="K87" s="29">
        <f>IFERROR(IF(F87&gt;=参数配置!$C$18,-(H87),IF(F87&gt;=参数配置!$C$17,-((H87-C87)*参数配置!$D$17),IF(F87&gt;=参数配置!$C$16,-((H87-C87)*参数配置!$D$16),IF(F87&gt;=参数配置!$C$15,-((H87-C87)*参数配置!$D$15),IF(F87&lt;=参数配置!$C$23,I87+参数配置!$C$8*参数配置!$D$23,IF(F87&lt;=参数配置!$C$22,I87+参数配置!$C$8*参数配置!$D$22,IF(F87&lt;=参数配置!$C$21,I87+参数配置!$C$8*参数配置!$D$21,I87))))))),"")</f>
        <v/>
      </c>
      <c r="L87" s="17" t="n"/>
      <c r="M87" s="26" t="n"/>
      <c r="N87" s="30">
        <f>IFERROR(G87+M87,"")</f>
        <v/>
      </c>
      <c r="O87" s="7">
        <f>IFERROR(O86+L87,"")</f>
        <v/>
      </c>
      <c r="P87" s="7">
        <f>IFERROR(-L87,"")</f>
        <v/>
      </c>
      <c r="Q87" s="31" t="n"/>
    </row>
    <row r="88">
      <c r="A88" s="16" t="n"/>
      <c r="B88" s="15" t="n"/>
      <c r="C88" s="7">
        <f>IFERROR(参数配置!$C$8*B88,"")</f>
        <v/>
      </c>
      <c r="D88" s="26" t="n"/>
      <c r="E88" s="26" t="n"/>
      <c r="F88" s="27">
        <f>IFERROR((D88-E88)/E88,"")</f>
        <v/>
      </c>
      <c r="G88" s="26" t="n"/>
      <c r="H88" s="7">
        <f>IFERROR(G88*D88,"")</f>
        <v/>
      </c>
      <c r="I88" s="7">
        <f>IFERROR(IF(F88&gt;=参数配置!$C$18,0,IF(F88&lt;=参数配置!$C$21,MAX(0,MIN(C88-H88,参数配置!$C$8*参数配置!$C$13)),MAX(0,MIN(C88-H88,参数配置!$C$8*参数配置!$C$12)))),"")</f>
        <v/>
      </c>
      <c r="J88" s="28">
        <f>IFERROR(IF(F88&gt;=参数配置!$C$18,"极端清仓",IF(F88&gt;=参数配置!$C$17,"三档收割",IF(F88&gt;=参数配置!$C$16,"二档收割",IF(F88&gt;=参数配置!$C$15,"一档收割",IF(F88&lt;=参数配置!$C$23,"三档加码",IF(F88&lt;=参数配置!$C$22,"二档加码",IF(F88&lt;=参数配置!$C$21,"一档加码","正常定投"))))))),"")</f>
        <v/>
      </c>
      <c r="K88" s="29">
        <f>IFERROR(IF(F88&gt;=参数配置!$C$18,-(H88),IF(F88&gt;=参数配置!$C$17,-((H88-C88)*参数配置!$D$17),IF(F88&gt;=参数配置!$C$16,-((H88-C88)*参数配置!$D$16),IF(F88&gt;=参数配置!$C$15,-((H88-C88)*参数配置!$D$15),IF(F88&lt;=参数配置!$C$23,I88+参数配置!$C$8*参数配置!$D$23,IF(F88&lt;=参数配置!$C$22,I88+参数配置!$C$8*参数配置!$D$22,IF(F88&lt;=参数配置!$C$21,I88+参数配置!$C$8*参数配置!$D$21,I88))))))),"")</f>
        <v/>
      </c>
      <c r="L88" s="17" t="n"/>
      <c r="M88" s="26" t="n"/>
      <c r="N88" s="30">
        <f>IFERROR(G88+M88,"")</f>
        <v/>
      </c>
      <c r="O88" s="7">
        <f>IFERROR(O87+L88,"")</f>
        <v/>
      </c>
      <c r="P88" s="7">
        <f>IFERROR(-L88,"")</f>
        <v/>
      </c>
      <c r="Q88" s="31" t="n"/>
    </row>
    <row r="89">
      <c r="A89" s="16" t="n"/>
      <c r="B89" s="15" t="n"/>
      <c r="C89" s="7">
        <f>IFERROR(参数配置!$C$8*B89,"")</f>
        <v/>
      </c>
      <c r="D89" s="26" t="n"/>
      <c r="E89" s="26" t="n"/>
      <c r="F89" s="27">
        <f>IFERROR((D89-E89)/E89,"")</f>
        <v/>
      </c>
      <c r="G89" s="26" t="n"/>
      <c r="H89" s="7">
        <f>IFERROR(G89*D89,"")</f>
        <v/>
      </c>
      <c r="I89" s="7">
        <f>IFERROR(IF(F89&gt;=参数配置!$C$18,0,IF(F89&lt;=参数配置!$C$21,MAX(0,MIN(C89-H89,参数配置!$C$8*参数配置!$C$13)),MAX(0,MIN(C89-H89,参数配置!$C$8*参数配置!$C$12)))),"")</f>
        <v/>
      </c>
      <c r="J89" s="28">
        <f>IFERROR(IF(F89&gt;=参数配置!$C$18,"极端清仓",IF(F89&gt;=参数配置!$C$17,"三档收割",IF(F89&gt;=参数配置!$C$16,"二档收割",IF(F89&gt;=参数配置!$C$15,"一档收割",IF(F89&lt;=参数配置!$C$23,"三档加码",IF(F89&lt;=参数配置!$C$22,"二档加码",IF(F89&lt;=参数配置!$C$21,"一档加码","正常定投"))))))),"")</f>
        <v/>
      </c>
      <c r="K89" s="29">
        <f>IFERROR(IF(F89&gt;=参数配置!$C$18,-(H89),IF(F89&gt;=参数配置!$C$17,-((H89-C89)*参数配置!$D$17),IF(F89&gt;=参数配置!$C$16,-((H89-C89)*参数配置!$D$16),IF(F89&gt;=参数配置!$C$15,-((H89-C89)*参数配置!$D$15),IF(F89&lt;=参数配置!$C$23,I89+参数配置!$C$8*参数配置!$D$23,IF(F89&lt;=参数配置!$C$22,I89+参数配置!$C$8*参数配置!$D$22,IF(F89&lt;=参数配置!$C$21,I89+参数配置!$C$8*参数配置!$D$21,I89))))))),"")</f>
        <v/>
      </c>
      <c r="L89" s="17" t="n"/>
      <c r="M89" s="26" t="n"/>
      <c r="N89" s="30">
        <f>IFERROR(G89+M89,"")</f>
        <v/>
      </c>
      <c r="O89" s="7">
        <f>IFERROR(O88+L89,"")</f>
        <v/>
      </c>
      <c r="P89" s="7">
        <f>IFERROR(-L89,"")</f>
        <v/>
      </c>
      <c r="Q89" s="31" t="n"/>
    </row>
    <row r="90">
      <c r="A90" s="16" t="n"/>
      <c r="B90" s="15" t="n"/>
      <c r="C90" s="7">
        <f>IFERROR(参数配置!$C$8*B90,"")</f>
        <v/>
      </c>
      <c r="D90" s="26" t="n"/>
      <c r="E90" s="26" t="n"/>
      <c r="F90" s="27">
        <f>IFERROR((D90-E90)/E90,"")</f>
        <v/>
      </c>
      <c r="G90" s="26" t="n"/>
      <c r="H90" s="7">
        <f>IFERROR(G90*D90,"")</f>
        <v/>
      </c>
      <c r="I90" s="7">
        <f>IFERROR(IF(F90&gt;=参数配置!$C$18,0,IF(F90&lt;=参数配置!$C$21,MAX(0,MIN(C90-H90,参数配置!$C$8*参数配置!$C$13)),MAX(0,MIN(C90-H90,参数配置!$C$8*参数配置!$C$12)))),"")</f>
        <v/>
      </c>
      <c r="J90" s="28">
        <f>IFERROR(IF(F90&gt;=参数配置!$C$18,"极端清仓",IF(F90&gt;=参数配置!$C$17,"三档收割",IF(F90&gt;=参数配置!$C$16,"二档收割",IF(F90&gt;=参数配置!$C$15,"一档收割",IF(F90&lt;=参数配置!$C$23,"三档加码",IF(F90&lt;=参数配置!$C$22,"二档加码",IF(F90&lt;=参数配置!$C$21,"一档加码","正常定投"))))))),"")</f>
        <v/>
      </c>
      <c r="K90" s="29">
        <f>IFERROR(IF(F90&gt;=参数配置!$C$18,-(H90),IF(F90&gt;=参数配置!$C$17,-((H90-C90)*参数配置!$D$17),IF(F90&gt;=参数配置!$C$16,-((H90-C90)*参数配置!$D$16),IF(F90&gt;=参数配置!$C$15,-((H90-C90)*参数配置!$D$15),IF(F90&lt;=参数配置!$C$23,I90+参数配置!$C$8*参数配置!$D$23,IF(F90&lt;=参数配置!$C$22,I90+参数配置!$C$8*参数配置!$D$22,IF(F90&lt;=参数配置!$C$21,I90+参数配置!$C$8*参数配置!$D$21,I90))))))),"")</f>
        <v/>
      </c>
      <c r="L90" s="17" t="n"/>
      <c r="M90" s="26" t="n"/>
      <c r="N90" s="30">
        <f>IFERROR(G90+M90,"")</f>
        <v/>
      </c>
      <c r="O90" s="7">
        <f>IFERROR(O89+L90,"")</f>
        <v/>
      </c>
      <c r="P90" s="7">
        <f>IFERROR(-L90,"")</f>
        <v/>
      </c>
      <c r="Q90" s="31" t="n"/>
    </row>
    <row r="91">
      <c r="A91" s="16" t="n"/>
      <c r="B91" s="15" t="n"/>
      <c r="C91" s="7">
        <f>IFERROR(参数配置!$C$8*B91,"")</f>
        <v/>
      </c>
      <c r="D91" s="26" t="n"/>
      <c r="E91" s="26" t="n"/>
      <c r="F91" s="27">
        <f>IFERROR((D91-E91)/E91,"")</f>
        <v/>
      </c>
      <c r="G91" s="26" t="n"/>
      <c r="H91" s="7">
        <f>IFERROR(G91*D91,"")</f>
        <v/>
      </c>
      <c r="I91" s="7">
        <f>IFERROR(IF(F91&gt;=参数配置!$C$18,0,IF(F91&lt;=参数配置!$C$21,MAX(0,MIN(C91-H91,参数配置!$C$8*参数配置!$C$13)),MAX(0,MIN(C91-H91,参数配置!$C$8*参数配置!$C$12)))),"")</f>
        <v/>
      </c>
      <c r="J91" s="28">
        <f>IFERROR(IF(F91&gt;=参数配置!$C$18,"极端清仓",IF(F91&gt;=参数配置!$C$17,"三档收割",IF(F91&gt;=参数配置!$C$16,"二档收割",IF(F91&gt;=参数配置!$C$15,"一档收割",IF(F91&lt;=参数配置!$C$23,"三档加码",IF(F91&lt;=参数配置!$C$22,"二档加码",IF(F91&lt;=参数配置!$C$21,"一档加码","正常定投"))))))),"")</f>
        <v/>
      </c>
      <c r="K91" s="29">
        <f>IFERROR(IF(F91&gt;=参数配置!$C$18,-(H91),IF(F91&gt;=参数配置!$C$17,-((H91-C91)*参数配置!$D$17),IF(F91&gt;=参数配置!$C$16,-((H91-C91)*参数配置!$D$16),IF(F91&gt;=参数配置!$C$15,-((H91-C91)*参数配置!$D$15),IF(F91&lt;=参数配置!$C$23,I91+参数配置!$C$8*参数配置!$D$23,IF(F91&lt;=参数配置!$C$22,I91+参数配置!$C$8*参数配置!$D$22,IF(F91&lt;=参数配置!$C$21,I91+参数配置!$C$8*参数配置!$D$21,I91))))))),"")</f>
        <v/>
      </c>
      <c r="L91" s="17" t="n"/>
      <c r="M91" s="26" t="n"/>
      <c r="N91" s="30">
        <f>IFERROR(G91+M91,"")</f>
        <v/>
      </c>
      <c r="O91" s="7">
        <f>IFERROR(O90+L91,"")</f>
        <v/>
      </c>
      <c r="P91" s="7">
        <f>IFERROR(-L91,"")</f>
        <v/>
      </c>
      <c r="Q91" s="31" t="n"/>
    </row>
    <row r="92">
      <c r="A92" s="16" t="n"/>
      <c r="B92" s="15" t="n"/>
      <c r="C92" s="7">
        <f>IFERROR(参数配置!$C$8*B92,"")</f>
        <v/>
      </c>
      <c r="D92" s="26" t="n"/>
      <c r="E92" s="26" t="n"/>
      <c r="F92" s="27">
        <f>IFERROR((D92-E92)/E92,"")</f>
        <v/>
      </c>
      <c r="G92" s="26" t="n"/>
      <c r="H92" s="7">
        <f>IFERROR(G92*D92,"")</f>
        <v/>
      </c>
      <c r="I92" s="7">
        <f>IFERROR(IF(F92&gt;=参数配置!$C$18,0,IF(F92&lt;=参数配置!$C$21,MAX(0,MIN(C92-H92,参数配置!$C$8*参数配置!$C$13)),MAX(0,MIN(C92-H92,参数配置!$C$8*参数配置!$C$12)))),"")</f>
        <v/>
      </c>
      <c r="J92" s="28">
        <f>IFERROR(IF(F92&gt;=参数配置!$C$18,"极端清仓",IF(F92&gt;=参数配置!$C$17,"三档收割",IF(F92&gt;=参数配置!$C$16,"二档收割",IF(F92&gt;=参数配置!$C$15,"一档收割",IF(F92&lt;=参数配置!$C$23,"三档加码",IF(F92&lt;=参数配置!$C$22,"二档加码",IF(F92&lt;=参数配置!$C$21,"一档加码","正常定投"))))))),"")</f>
        <v/>
      </c>
      <c r="K92" s="29">
        <f>IFERROR(IF(F92&gt;=参数配置!$C$18,-(H92),IF(F92&gt;=参数配置!$C$17,-((H92-C92)*参数配置!$D$17),IF(F92&gt;=参数配置!$C$16,-((H92-C92)*参数配置!$D$16),IF(F92&gt;=参数配置!$C$15,-((H92-C92)*参数配置!$D$15),IF(F92&lt;=参数配置!$C$23,I92+参数配置!$C$8*参数配置!$D$23,IF(F92&lt;=参数配置!$C$22,I92+参数配置!$C$8*参数配置!$D$22,IF(F92&lt;=参数配置!$C$21,I92+参数配置!$C$8*参数配置!$D$21,I92))))))),"")</f>
        <v/>
      </c>
      <c r="L92" s="17" t="n"/>
      <c r="M92" s="26" t="n"/>
      <c r="N92" s="30">
        <f>IFERROR(G92+M92,"")</f>
        <v/>
      </c>
      <c r="O92" s="7">
        <f>IFERROR(O91+L92,"")</f>
        <v/>
      </c>
      <c r="P92" s="7">
        <f>IFERROR(-L92,"")</f>
        <v/>
      </c>
      <c r="Q92" s="31" t="n"/>
    </row>
    <row r="93">
      <c r="A93" s="16" t="n"/>
      <c r="B93" s="15" t="n"/>
      <c r="C93" s="7">
        <f>IFERROR(参数配置!$C$8*B93,"")</f>
        <v/>
      </c>
      <c r="D93" s="26" t="n"/>
      <c r="E93" s="26" t="n"/>
      <c r="F93" s="27">
        <f>IFERROR((D93-E93)/E93,"")</f>
        <v/>
      </c>
      <c r="G93" s="26" t="n"/>
      <c r="H93" s="7">
        <f>IFERROR(G93*D93,"")</f>
        <v/>
      </c>
      <c r="I93" s="7">
        <f>IFERROR(IF(F93&gt;=参数配置!$C$18,0,IF(F93&lt;=参数配置!$C$21,MAX(0,MIN(C93-H93,参数配置!$C$8*参数配置!$C$13)),MAX(0,MIN(C93-H93,参数配置!$C$8*参数配置!$C$12)))),"")</f>
        <v/>
      </c>
      <c r="J93" s="28">
        <f>IFERROR(IF(F93&gt;=参数配置!$C$18,"极端清仓",IF(F93&gt;=参数配置!$C$17,"三档收割",IF(F93&gt;=参数配置!$C$16,"二档收割",IF(F93&gt;=参数配置!$C$15,"一档收割",IF(F93&lt;=参数配置!$C$23,"三档加码",IF(F93&lt;=参数配置!$C$22,"二档加码",IF(F93&lt;=参数配置!$C$21,"一档加码","正常定投"))))))),"")</f>
        <v/>
      </c>
      <c r="K93" s="29">
        <f>IFERROR(IF(F93&gt;=参数配置!$C$18,-(H93),IF(F93&gt;=参数配置!$C$17,-((H93-C93)*参数配置!$D$17),IF(F93&gt;=参数配置!$C$16,-((H93-C93)*参数配置!$D$16),IF(F93&gt;=参数配置!$C$15,-((H93-C93)*参数配置!$D$15),IF(F93&lt;=参数配置!$C$23,I93+参数配置!$C$8*参数配置!$D$23,IF(F93&lt;=参数配置!$C$22,I93+参数配置!$C$8*参数配置!$D$22,IF(F93&lt;=参数配置!$C$21,I93+参数配置!$C$8*参数配置!$D$21,I93))))))),"")</f>
        <v/>
      </c>
      <c r="L93" s="17" t="n"/>
      <c r="M93" s="26" t="n"/>
      <c r="N93" s="30">
        <f>IFERROR(G93+M93,"")</f>
        <v/>
      </c>
      <c r="O93" s="7">
        <f>IFERROR(O92+L93,"")</f>
        <v/>
      </c>
      <c r="P93" s="7">
        <f>IFERROR(-L93,"")</f>
        <v/>
      </c>
      <c r="Q93" s="31" t="n"/>
    </row>
    <row r="94">
      <c r="A94" s="16" t="n"/>
      <c r="B94" s="15" t="n"/>
      <c r="C94" s="7">
        <f>IFERROR(参数配置!$C$8*B94,"")</f>
        <v/>
      </c>
      <c r="D94" s="26" t="n"/>
      <c r="E94" s="26" t="n"/>
      <c r="F94" s="27">
        <f>IFERROR((D94-E94)/E94,"")</f>
        <v/>
      </c>
      <c r="G94" s="26" t="n"/>
      <c r="H94" s="7">
        <f>IFERROR(G94*D94,"")</f>
        <v/>
      </c>
      <c r="I94" s="7">
        <f>IFERROR(IF(F94&gt;=参数配置!$C$18,0,IF(F94&lt;=参数配置!$C$21,MAX(0,MIN(C94-H94,参数配置!$C$8*参数配置!$C$13)),MAX(0,MIN(C94-H94,参数配置!$C$8*参数配置!$C$12)))),"")</f>
        <v/>
      </c>
      <c r="J94" s="28">
        <f>IFERROR(IF(F94&gt;=参数配置!$C$18,"极端清仓",IF(F94&gt;=参数配置!$C$17,"三档收割",IF(F94&gt;=参数配置!$C$16,"二档收割",IF(F94&gt;=参数配置!$C$15,"一档收割",IF(F94&lt;=参数配置!$C$23,"三档加码",IF(F94&lt;=参数配置!$C$22,"二档加码",IF(F94&lt;=参数配置!$C$21,"一档加码","正常定投"))))))),"")</f>
        <v/>
      </c>
      <c r="K94" s="29">
        <f>IFERROR(IF(F94&gt;=参数配置!$C$18,-(H94),IF(F94&gt;=参数配置!$C$17,-((H94-C94)*参数配置!$D$17),IF(F94&gt;=参数配置!$C$16,-((H94-C94)*参数配置!$D$16),IF(F94&gt;=参数配置!$C$15,-((H94-C94)*参数配置!$D$15),IF(F94&lt;=参数配置!$C$23,I94+参数配置!$C$8*参数配置!$D$23,IF(F94&lt;=参数配置!$C$22,I94+参数配置!$C$8*参数配置!$D$22,IF(F94&lt;=参数配置!$C$21,I94+参数配置!$C$8*参数配置!$D$21,I94))))))),"")</f>
        <v/>
      </c>
      <c r="L94" s="17" t="n"/>
      <c r="M94" s="26" t="n"/>
      <c r="N94" s="30">
        <f>IFERROR(G94+M94,"")</f>
        <v/>
      </c>
      <c r="O94" s="7">
        <f>IFERROR(O93+L94,"")</f>
        <v/>
      </c>
      <c r="P94" s="7">
        <f>IFERROR(-L94,"")</f>
        <v/>
      </c>
      <c r="Q94" s="31" t="n"/>
    </row>
    <row r="95">
      <c r="A95" s="16" t="n"/>
      <c r="B95" s="15" t="n"/>
      <c r="C95" s="7">
        <f>IFERROR(参数配置!$C$8*B95,"")</f>
        <v/>
      </c>
      <c r="D95" s="26" t="n"/>
      <c r="E95" s="26" t="n"/>
      <c r="F95" s="27">
        <f>IFERROR((D95-E95)/E95,"")</f>
        <v/>
      </c>
      <c r="G95" s="26" t="n"/>
      <c r="H95" s="7">
        <f>IFERROR(G95*D95,"")</f>
        <v/>
      </c>
      <c r="I95" s="7">
        <f>IFERROR(IF(F95&gt;=参数配置!$C$18,0,IF(F95&lt;=参数配置!$C$21,MAX(0,MIN(C95-H95,参数配置!$C$8*参数配置!$C$13)),MAX(0,MIN(C95-H95,参数配置!$C$8*参数配置!$C$12)))),"")</f>
        <v/>
      </c>
      <c r="J95" s="28">
        <f>IFERROR(IF(F95&gt;=参数配置!$C$18,"极端清仓",IF(F95&gt;=参数配置!$C$17,"三档收割",IF(F95&gt;=参数配置!$C$16,"二档收割",IF(F95&gt;=参数配置!$C$15,"一档收割",IF(F95&lt;=参数配置!$C$23,"三档加码",IF(F95&lt;=参数配置!$C$22,"二档加码",IF(F95&lt;=参数配置!$C$21,"一档加码","正常定投"))))))),"")</f>
        <v/>
      </c>
      <c r="K95" s="29">
        <f>IFERROR(IF(F95&gt;=参数配置!$C$18,-(H95),IF(F95&gt;=参数配置!$C$17,-((H95-C95)*参数配置!$D$17),IF(F95&gt;=参数配置!$C$16,-((H95-C95)*参数配置!$D$16),IF(F95&gt;=参数配置!$C$15,-((H95-C95)*参数配置!$D$15),IF(F95&lt;=参数配置!$C$23,I95+参数配置!$C$8*参数配置!$D$23,IF(F95&lt;=参数配置!$C$22,I95+参数配置!$C$8*参数配置!$D$22,IF(F95&lt;=参数配置!$C$21,I95+参数配置!$C$8*参数配置!$D$21,I95))))))),"")</f>
        <v/>
      </c>
      <c r="L95" s="17" t="n"/>
      <c r="M95" s="26" t="n"/>
      <c r="N95" s="30">
        <f>IFERROR(G95+M95,"")</f>
        <v/>
      </c>
      <c r="O95" s="7">
        <f>IFERROR(O94+L95,"")</f>
        <v/>
      </c>
      <c r="P95" s="7">
        <f>IFERROR(-L95,"")</f>
        <v/>
      </c>
      <c r="Q95" s="31" t="n"/>
    </row>
    <row r="96">
      <c r="A96" s="16" t="n"/>
      <c r="B96" s="15" t="n"/>
      <c r="C96" s="7">
        <f>IFERROR(参数配置!$C$8*B96,"")</f>
        <v/>
      </c>
      <c r="D96" s="26" t="n"/>
      <c r="E96" s="26" t="n"/>
      <c r="F96" s="27">
        <f>IFERROR((D96-E96)/E96,"")</f>
        <v/>
      </c>
      <c r="G96" s="26" t="n"/>
      <c r="H96" s="7">
        <f>IFERROR(G96*D96,"")</f>
        <v/>
      </c>
      <c r="I96" s="7">
        <f>IFERROR(IF(F96&gt;=参数配置!$C$18,0,IF(F96&lt;=参数配置!$C$21,MAX(0,MIN(C96-H96,参数配置!$C$8*参数配置!$C$13)),MAX(0,MIN(C96-H96,参数配置!$C$8*参数配置!$C$12)))),"")</f>
        <v/>
      </c>
      <c r="J96" s="28">
        <f>IFERROR(IF(F96&gt;=参数配置!$C$18,"极端清仓",IF(F96&gt;=参数配置!$C$17,"三档收割",IF(F96&gt;=参数配置!$C$16,"二档收割",IF(F96&gt;=参数配置!$C$15,"一档收割",IF(F96&lt;=参数配置!$C$23,"三档加码",IF(F96&lt;=参数配置!$C$22,"二档加码",IF(F96&lt;=参数配置!$C$21,"一档加码","正常定投"))))))),"")</f>
        <v/>
      </c>
      <c r="K96" s="29">
        <f>IFERROR(IF(F96&gt;=参数配置!$C$18,-(H96),IF(F96&gt;=参数配置!$C$17,-((H96-C96)*参数配置!$D$17),IF(F96&gt;=参数配置!$C$16,-((H96-C96)*参数配置!$D$16),IF(F96&gt;=参数配置!$C$15,-((H96-C96)*参数配置!$D$15),IF(F96&lt;=参数配置!$C$23,I96+参数配置!$C$8*参数配置!$D$23,IF(F96&lt;=参数配置!$C$22,I96+参数配置!$C$8*参数配置!$D$22,IF(F96&lt;=参数配置!$C$21,I96+参数配置!$C$8*参数配置!$D$21,I96))))))),"")</f>
        <v/>
      </c>
      <c r="L96" s="17" t="n"/>
      <c r="M96" s="26" t="n"/>
      <c r="N96" s="30">
        <f>IFERROR(G96+M96,"")</f>
        <v/>
      </c>
      <c r="O96" s="7">
        <f>IFERROR(O95+L96,"")</f>
        <v/>
      </c>
      <c r="P96" s="7">
        <f>IFERROR(-L96,"")</f>
        <v/>
      </c>
      <c r="Q96" s="31" t="n"/>
    </row>
    <row r="97">
      <c r="A97" s="16" t="n"/>
      <c r="B97" s="15" t="n"/>
      <c r="C97" s="7">
        <f>IFERROR(参数配置!$C$8*B97,"")</f>
        <v/>
      </c>
      <c r="D97" s="26" t="n"/>
      <c r="E97" s="26" t="n"/>
      <c r="F97" s="27">
        <f>IFERROR((D97-E97)/E97,"")</f>
        <v/>
      </c>
      <c r="G97" s="26" t="n"/>
      <c r="H97" s="7">
        <f>IFERROR(G97*D97,"")</f>
        <v/>
      </c>
      <c r="I97" s="7">
        <f>IFERROR(IF(F97&gt;=参数配置!$C$18,0,IF(F97&lt;=参数配置!$C$21,MAX(0,MIN(C97-H97,参数配置!$C$8*参数配置!$C$13)),MAX(0,MIN(C97-H97,参数配置!$C$8*参数配置!$C$12)))),"")</f>
        <v/>
      </c>
      <c r="J97" s="28">
        <f>IFERROR(IF(F97&gt;=参数配置!$C$18,"极端清仓",IF(F97&gt;=参数配置!$C$17,"三档收割",IF(F97&gt;=参数配置!$C$16,"二档收割",IF(F97&gt;=参数配置!$C$15,"一档收割",IF(F97&lt;=参数配置!$C$23,"三档加码",IF(F97&lt;=参数配置!$C$22,"二档加码",IF(F97&lt;=参数配置!$C$21,"一档加码","正常定投"))))))),"")</f>
        <v/>
      </c>
      <c r="K97" s="29">
        <f>IFERROR(IF(F97&gt;=参数配置!$C$18,-(H97),IF(F97&gt;=参数配置!$C$17,-((H97-C97)*参数配置!$D$17),IF(F97&gt;=参数配置!$C$16,-((H97-C97)*参数配置!$D$16),IF(F97&gt;=参数配置!$C$15,-((H97-C97)*参数配置!$D$15),IF(F97&lt;=参数配置!$C$23,I97+参数配置!$C$8*参数配置!$D$23,IF(F97&lt;=参数配置!$C$22,I97+参数配置!$C$8*参数配置!$D$22,IF(F97&lt;=参数配置!$C$21,I97+参数配置!$C$8*参数配置!$D$21,I97))))))),"")</f>
        <v/>
      </c>
      <c r="L97" s="17" t="n"/>
      <c r="M97" s="26" t="n"/>
      <c r="N97" s="30">
        <f>IFERROR(G97+M97,"")</f>
        <v/>
      </c>
      <c r="O97" s="7">
        <f>IFERROR(O96+L97,"")</f>
        <v/>
      </c>
      <c r="P97" s="7">
        <f>IFERROR(-L97,"")</f>
        <v/>
      </c>
      <c r="Q97" s="31" t="n"/>
    </row>
    <row r="98">
      <c r="A98" s="16" t="n"/>
      <c r="B98" s="15" t="n"/>
      <c r="C98" s="7">
        <f>IFERROR(参数配置!$C$8*B98,"")</f>
        <v/>
      </c>
      <c r="D98" s="26" t="n"/>
      <c r="E98" s="26" t="n"/>
      <c r="F98" s="27">
        <f>IFERROR((D98-E98)/E98,"")</f>
        <v/>
      </c>
      <c r="G98" s="26" t="n"/>
      <c r="H98" s="7">
        <f>IFERROR(G98*D98,"")</f>
        <v/>
      </c>
      <c r="I98" s="7">
        <f>IFERROR(IF(F98&gt;=参数配置!$C$18,0,IF(F98&lt;=参数配置!$C$21,MAX(0,MIN(C98-H98,参数配置!$C$8*参数配置!$C$13)),MAX(0,MIN(C98-H98,参数配置!$C$8*参数配置!$C$12)))),"")</f>
        <v/>
      </c>
      <c r="J98" s="28">
        <f>IFERROR(IF(F98&gt;=参数配置!$C$18,"极端清仓",IF(F98&gt;=参数配置!$C$17,"三档收割",IF(F98&gt;=参数配置!$C$16,"二档收割",IF(F98&gt;=参数配置!$C$15,"一档收割",IF(F98&lt;=参数配置!$C$23,"三档加码",IF(F98&lt;=参数配置!$C$22,"二档加码",IF(F98&lt;=参数配置!$C$21,"一档加码","正常定投"))))))),"")</f>
        <v/>
      </c>
      <c r="K98" s="29">
        <f>IFERROR(IF(F98&gt;=参数配置!$C$18,-(H98),IF(F98&gt;=参数配置!$C$17,-((H98-C98)*参数配置!$D$17),IF(F98&gt;=参数配置!$C$16,-((H98-C98)*参数配置!$D$16),IF(F98&gt;=参数配置!$C$15,-((H98-C98)*参数配置!$D$15),IF(F98&lt;=参数配置!$C$23,I98+参数配置!$C$8*参数配置!$D$23,IF(F98&lt;=参数配置!$C$22,I98+参数配置!$C$8*参数配置!$D$22,IF(F98&lt;=参数配置!$C$21,I98+参数配置!$C$8*参数配置!$D$21,I98))))))),"")</f>
        <v/>
      </c>
      <c r="L98" s="17" t="n"/>
      <c r="M98" s="26" t="n"/>
      <c r="N98" s="30">
        <f>IFERROR(G98+M98,"")</f>
        <v/>
      </c>
      <c r="O98" s="7">
        <f>IFERROR(O97+L98,"")</f>
        <v/>
      </c>
      <c r="P98" s="7">
        <f>IFERROR(-L98,"")</f>
        <v/>
      </c>
      <c r="Q98" s="31" t="n"/>
    </row>
    <row r="99">
      <c r="A99" s="16" t="n"/>
      <c r="B99" s="15" t="n"/>
      <c r="C99" s="7">
        <f>IFERROR(参数配置!$C$8*B99,"")</f>
        <v/>
      </c>
      <c r="D99" s="26" t="n"/>
      <c r="E99" s="26" t="n"/>
      <c r="F99" s="27">
        <f>IFERROR((D99-E99)/E99,"")</f>
        <v/>
      </c>
      <c r="G99" s="26" t="n"/>
      <c r="H99" s="7">
        <f>IFERROR(G99*D99,"")</f>
        <v/>
      </c>
      <c r="I99" s="7">
        <f>IFERROR(IF(F99&gt;=参数配置!$C$18,0,IF(F99&lt;=参数配置!$C$21,MAX(0,MIN(C99-H99,参数配置!$C$8*参数配置!$C$13)),MAX(0,MIN(C99-H99,参数配置!$C$8*参数配置!$C$12)))),"")</f>
        <v/>
      </c>
      <c r="J99" s="28">
        <f>IFERROR(IF(F99&gt;=参数配置!$C$18,"极端清仓",IF(F99&gt;=参数配置!$C$17,"三档收割",IF(F99&gt;=参数配置!$C$16,"二档收割",IF(F99&gt;=参数配置!$C$15,"一档收割",IF(F99&lt;=参数配置!$C$23,"三档加码",IF(F99&lt;=参数配置!$C$22,"二档加码",IF(F99&lt;=参数配置!$C$21,"一档加码","正常定投"))))))),"")</f>
        <v/>
      </c>
      <c r="K99" s="29">
        <f>IFERROR(IF(F99&gt;=参数配置!$C$18,-(H99),IF(F99&gt;=参数配置!$C$17,-((H99-C99)*参数配置!$D$17),IF(F99&gt;=参数配置!$C$16,-((H99-C99)*参数配置!$D$16),IF(F99&gt;=参数配置!$C$15,-((H99-C99)*参数配置!$D$15),IF(F99&lt;=参数配置!$C$23,I99+参数配置!$C$8*参数配置!$D$23,IF(F99&lt;=参数配置!$C$22,I99+参数配置!$C$8*参数配置!$D$22,IF(F99&lt;=参数配置!$C$21,I99+参数配置!$C$8*参数配置!$D$21,I99))))))),"")</f>
        <v/>
      </c>
      <c r="L99" s="17" t="n"/>
      <c r="M99" s="26" t="n"/>
      <c r="N99" s="30">
        <f>IFERROR(G99+M99,"")</f>
        <v/>
      </c>
      <c r="O99" s="7">
        <f>IFERROR(O98+L99,"")</f>
        <v/>
      </c>
      <c r="P99" s="7">
        <f>IFERROR(-L99,"")</f>
        <v/>
      </c>
      <c r="Q99" s="31" t="n"/>
    </row>
    <row r="100">
      <c r="A100" s="16" t="n"/>
      <c r="B100" s="15" t="n"/>
      <c r="C100" s="7">
        <f>IFERROR(参数配置!$C$8*B100,"")</f>
        <v/>
      </c>
      <c r="D100" s="26" t="n"/>
      <c r="E100" s="26" t="n"/>
      <c r="F100" s="27">
        <f>IFERROR((D100-E100)/E100,"")</f>
        <v/>
      </c>
      <c r="G100" s="26" t="n"/>
      <c r="H100" s="7">
        <f>IFERROR(G100*D100,"")</f>
        <v/>
      </c>
      <c r="I100" s="7">
        <f>IFERROR(IF(F100&gt;=参数配置!$C$18,0,IF(F100&lt;=参数配置!$C$21,MAX(0,MIN(C100-H100,参数配置!$C$8*参数配置!$C$13)),MAX(0,MIN(C100-H100,参数配置!$C$8*参数配置!$C$12)))),"")</f>
        <v/>
      </c>
      <c r="J100" s="28">
        <f>IFERROR(IF(F100&gt;=参数配置!$C$18,"极端清仓",IF(F100&gt;=参数配置!$C$17,"三档收割",IF(F100&gt;=参数配置!$C$16,"二档收割",IF(F100&gt;=参数配置!$C$15,"一档收割",IF(F100&lt;=参数配置!$C$23,"三档加码",IF(F100&lt;=参数配置!$C$22,"二档加码",IF(F100&lt;=参数配置!$C$21,"一档加码","正常定投"))))))),"")</f>
        <v/>
      </c>
      <c r="K100" s="29">
        <f>IFERROR(IF(F100&gt;=参数配置!$C$18,-(H100),IF(F100&gt;=参数配置!$C$17,-((H100-C100)*参数配置!$D$17),IF(F100&gt;=参数配置!$C$16,-((H100-C100)*参数配置!$D$16),IF(F100&gt;=参数配置!$C$15,-((H100-C100)*参数配置!$D$15),IF(F100&lt;=参数配置!$C$23,I100+参数配置!$C$8*参数配置!$D$23,IF(F100&lt;=参数配置!$C$22,I100+参数配置!$C$8*参数配置!$D$22,IF(F100&lt;=参数配置!$C$21,I100+参数配置!$C$8*参数配置!$D$21,I100))))))),"")</f>
        <v/>
      </c>
      <c r="L100" s="17" t="n"/>
      <c r="M100" s="26" t="n"/>
      <c r="N100" s="30">
        <f>IFERROR(G100+M100,"")</f>
        <v/>
      </c>
      <c r="O100" s="7">
        <f>IFERROR(O99+L100,"")</f>
        <v/>
      </c>
      <c r="P100" s="7">
        <f>IFERROR(-L100,"")</f>
        <v/>
      </c>
      <c r="Q100" s="31" t="n"/>
    </row>
    <row r="101">
      <c r="A101" s="16" t="n"/>
      <c r="B101" s="15" t="n"/>
      <c r="C101" s="7">
        <f>IFERROR(参数配置!$C$8*B101,"")</f>
        <v/>
      </c>
      <c r="D101" s="26" t="n"/>
      <c r="E101" s="26" t="n"/>
      <c r="F101" s="27">
        <f>IFERROR((D101-E101)/E101,"")</f>
        <v/>
      </c>
      <c r="G101" s="26" t="n"/>
      <c r="H101" s="7">
        <f>IFERROR(G101*D101,"")</f>
        <v/>
      </c>
      <c r="I101" s="7">
        <f>IFERROR(IF(F101&gt;=参数配置!$C$18,0,IF(F101&lt;=参数配置!$C$21,MAX(0,MIN(C101-H101,参数配置!$C$8*参数配置!$C$13)),MAX(0,MIN(C101-H101,参数配置!$C$8*参数配置!$C$12)))),"")</f>
        <v/>
      </c>
      <c r="J101" s="28">
        <f>IFERROR(IF(F101&gt;=参数配置!$C$18,"极端清仓",IF(F101&gt;=参数配置!$C$17,"三档收割",IF(F101&gt;=参数配置!$C$16,"二档收割",IF(F101&gt;=参数配置!$C$15,"一档收割",IF(F101&lt;=参数配置!$C$23,"三档加码",IF(F101&lt;=参数配置!$C$22,"二档加码",IF(F101&lt;=参数配置!$C$21,"一档加码","正常定投"))))))),"")</f>
        <v/>
      </c>
      <c r="K101" s="29">
        <f>IFERROR(IF(F101&gt;=参数配置!$C$18,-(H101),IF(F101&gt;=参数配置!$C$17,-((H101-C101)*参数配置!$D$17),IF(F101&gt;=参数配置!$C$16,-((H101-C101)*参数配置!$D$16),IF(F101&gt;=参数配置!$C$15,-((H101-C101)*参数配置!$D$15),IF(F101&lt;=参数配置!$C$23,I101+参数配置!$C$8*参数配置!$D$23,IF(F101&lt;=参数配置!$C$22,I101+参数配置!$C$8*参数配置!$D$22,IF(F101&lt;=参数配置!$C$21,I101+参数配置!$C$8*参数配置!$D$21,I101))))))),"")</f>
        <v/>
      </c>
      <c r="L101" s="17" t="n"/>
      <c r="M101" s="26" t="n"/>
      <c r="N101" s="30">
        <f>IFERROR(G101+M101,"")</f>
        <v/>
      </c>
      <c r="O101" s="7">
        <f>IFERROR(O100+L101,"")</f>
        <v/>
      </c>
      <c r="P101" s="7">
        <f>IFERROR(-L101,"")</f>
        <v/>
      </c>
      <c r="Q101" s="31" t="n"/>
    </row>
    <row r="102">
      <c r="A102" s="16" t="n"/>
      <c r="B102" s="15" t="n"/>
      <c r="C102" s="7">
        <f>IFERROR(参数配置!$C$8*B102,"")</f>
        <v/>
      </c>
      <c r="D102" s="26" t="n"/>
      <c r="E102" s="26" t="n"/>
      <c r="F102" s="27">
        <f>IFERROR((D102-E102)/E102,"")</f>
        <v/>
      </c>
      <c r="G102" s="26" t="n"/>
      <c r="H102" s="7">
        <f>IFERROR(G102*D102,"")</f>
        <v/>
      </c>
      <c r="I102" s="7">
        <f>IFERROR(IF(F102&gt;=参数配置!$C$18,0,IF(F102&lt;=参数配置!$C$21,MAX(0,MIN(C102-H102,参数配置!$C$8*参数配置!$C$13)),MAX(0,MIN(C102-H102,参数配置!$C$8*参数配置!$C$12)))),"")</f>
        <v/>
      </c>
      <c r="J102" s="28">
        <f>IFERROR(IF(F102&gt;=参数配置!$C$18,"极端清仓",IF(F102&gt;=参数配置!$C$17,"三档收割",IF(F102&gt;=参数配置!$C$16,"二档收割",IF(F102&gt;=参数配置!$C$15,"一档收割",IF(F102&lt;=参数配置!$C$23,"三档加码",IF(F102&lt;=参数配置!$C$22,"二档加码",IF(F102&lt;=参数配置!$C$21,"一档加码","正常定投"))))))),"")</f>
        <v/>
      </c>
      <c r="K102" s="29">
        <f>IFERROR(IF(F102&gt;=参数配置!$C$18,-(H102),IF(F102&gt;=参数配置!$C$17,-((H102-C102)*参数配置!$D$17),IF(F102&gt;=参数配置!$C$16,-((H102-C102)*参数配置!$D$16),IF(F102&gt;=参数配置!$C$15,-((H102-C102)*参数配置!$D$15),IF(F102&lt;=参数配置!$C$23,I102+参数配置!$C$8*参数配置!$D$23,IF(F102&lt;=参数配置!$C$22,I102+参数配置!$C$8*参数配置!$D$22,IF(F102&lt;=参数配置!$C$21,I102+参数配置!$C$8*参数配置!$D$21,I102))))))),"")</f>
        <v/>
      </c>
      <c r="L102" s="17" t="n"/>
      <c r="M102" s="26" t="n"/>
      <c r="N102" s="30">
        <f>IFERROR(G102+M102,"")</f>
        <v/>
      </c>
      <c r="O102" s="7">
        <f>IFERROR(O101+L102,"")</f>
        <v/>
      </c>
      <c r="P102" s="7">
        <f>IFERROR(-L102,"")</f>
        <v/>
      </c>
      <c r="Q102" s="31" t="n"/>
    </row>
    <row r="103">
      <c r="A103" s="16" t="n"/>
      <c r="B103" s="15" t="n"/>
      <c r="C103" s="7">
        <f>IFERROR(参数配置!$C$8*B103,"")</f>
        <v/>
      </c>
      <c r="D103" s="26" t="n"/>
      <c r="E103" s="26" t="n"/>
      <c r="F103" s="27">
        <f>IFERROR((D103-E103)/E103,"")</f>
        <v/>
      </c>
      <c r="G103" s="26" t="n"/>
      <c r="H103" s="7">
        <f>IFERROR(G103*D103,"")</f>
        <v/>
      </c>
      <c r="I103" s="7">
        <f>IFERROR(IF(F103&gt;=参数配置!$C$18,0,IF(F103&lt;=参数配置!$C$21,MAX(0,MIN(C103-H103,参数配置!$C$8*参数配置!$C$13)),MAX(0,MIN(C103-H103,参数配置!$C$8*参数配置!$C$12)))),"")</f>
        <v/>
      </c>
      <c r="J103" s="28">
        <f>IFERROR(IF(F103&gt;=参数配置!$C$18,"极端清仓",IF(F103&gt;=参数配置!$C$17,"三档收割",IF(F103&gt;=参数配置!$C$16,"二档收割",IF(F103&gt;=参数配置!$C$15,"一档收割",IF(F103&lt;=参数配置!$C$23,"三档加码",IF(F103&lt;=参数配置!$C$22,"二档加码",IF(F103&lt;=参数配置!$C$21,"一档加码","正常定投"))))))),"")</f>
        <v/>
      </c>
      <c r="K103" s="29">
        <f>IFERROR(IF(F103&gt;=参数配置!$C$18,-(H103),IF(F103&gt;=参数配置!$C$17,-((H103-C103)*参数配置!$D$17),IF(F103&gt;=参数配置!$C$16,-((H103-C103)*参数配置!$D$16),IF(F103&gt;=参数配置!$C$15,-((H103-C103)*参数配置!$D$15),IF(F103&lt;=参数配置!$C$23,I103+参数配置!$C$8*参数配置!$D$23,IF(F103&lt;=参数配置!$C$22,I103+参数配置!$C$8*参数配置!$D$22,IF(F103&lt;=参数配置!$C$21,I103+参数配置!$C$8*参数配置!$D$21,I103))))))),"")</f>
        <v/>
      </c>
      <c r="L103" s="17" t="n"/>
      <c r="M103" s="26" t="n"/>
      <c r="N103" s="30">
        <f>IFERROR(G103+M103,"")</f>
        <v/>
      </c>
      <c r="O103" s="7">
        <f>IFERROR(O102+L103,"")</f>
        <v/>
      </c>
      <c r="P103" s="7">
        <f>IFERROR(-L103,"")</f>
        <v/>
      </c>
      <c r="Q103" s="31" t="n"/>
    </row>
    <row r="104">
      <c r="A104" s="16" t="n"/>
      <c r="B104" s="15" t="n"/>
      <c r="C104" s="7">
        <f>IFERROR(参数配置!$C$8*B104,"")</f>
        <v/>
      </c>
      <c r="D104" s="26" t="n"/>
      <c r="E104" s="26" t="n"/>
      <c r="F104" s="27">
        <f>IFERROR((D104-E104)/E104,"")</f>
        <v/>
      </c>
      <c r="G104" s="26" t="n"/>
      <c r="H104" s="7">
        <f>IFERROR(G104*D104,"")</f>
        <v/>
      </c>
      <c r="I104" s="7">
        <f>IFERROR(IF(F104&gt;=参数配置!$C$18,0,IF(F104&lt;=参数配置!$C$21,MAX(0,MIN(C104-H104,参数配置!$C$8*参数配置!$C$13)),MAX(0,MIN(C104-H104,参数配置!$C$8*参数配置!$C$12)))),"")</f>
        <v/>
      </c>
      <c r="J104" s="28">
        <f>IFERROR(IF(F104&gt;=参数配置!$C$18,"极端清仓",IF(F104&gt;=参数配置!$C$17,"三档收割",IF(F104&gt;=参数配置!$C$16,"二档收割",IF(F104&gt;=参数配置!$C$15,"一档收割",IF(F104&lt;=参数配置!$C$23,"三档加码",IF(F104&lt;=参数配置!$C$22,"二档加码",IF(F104&lt;=参数配置!$C$21,"一档加码","正常定投"))))))),"")</f>
        <v/>
      </c>
      <c r="K104" s="29">
        <f>IFERROR(IF(F104&gt;=参数配置!$C$18,-(H104),IF(F104&gt;=参数配置!$C$17,-((H104-C104)*参数配置!$D$17),IF(F104&gt;=参数配置!$C$16,-((H104-C104)*参数配置!$D$16),IF(F104&gt;=参数配置!$C$15,-((H104-C104)*参数配置!$D$15),IF(F104&lt;=参数配置!$C$23,I104+参数配置!$C$8*参数配置!$D$23,IF(F104&lt;=参数配置!$C$22,I104+参数配置!$C$8*参数配置!$D$22,IF(F104&lt;=参数配置!$C$21,I104+参数配置!$C$8*参数配置!$D$21,I104))))))),"")</f>
        <v/>
      </c>
      <c r="L104" s="17" t="n"/>
      <c r="M104" s="26" t="n"/>
      <c r="N104" s="30">
        <f>IFERROR(G104+M104,"")</f>
        <v/>
      </c>
      <c r="O104" s="7">
        <f>IFERROR(O103+L104,"")</f>
        <v/>
      </c>
      <c r="P104" s="7">
        <f>IFERROR(-L104,"")</f>
        <v/>
      </c>
      <c r="Q104" s="31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2026-04-24T03:47:40Z</dcterms:created>
  <dcterms:modified xmlns:dcterms="http://purl.org/dc/terms/" xmlns:xsi="http://www.w3.org/2001/XMLSchema-instance" xsi:type="dcterms:W3CDTF">2026-04-24T03:47:41Z</dcterms:modified>
</cp:coreProperties>
</file>