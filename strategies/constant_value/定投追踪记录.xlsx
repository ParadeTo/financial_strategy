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看板" sheetId="1" state="visible" r:id="rId1"/>
    <sheet xmlns:r="http://schemas.openxmlformats.org/officeDocument/2006/relationships" name="每期汇总" sheetId="2" state="visible" r:id="rId2"/>
    <sheet xmlns:r="http://schemas.openxmlformats.org/officeDocument/2006/relationships" name="参数配置" sheetId="3" state="visible" r:id="rId3"/>
    <sheet xmlns:r="http://schemas.openxmlformats.org/officeDocument/2006/relationships" name="沪深300" sheetId="4" state="visible" r:id="rId4"/>
    <sheet xmlns:r="http://schemas.openxmlformats.org/officeDocument/2006/relationships" name="中证500" sheetId="5" state="visible" r:id="rId5"/>
    <sheet xmlns:r="http://schemas.openxmlformats.org/officeDocument/2006/relationships" name="恒生指数" sheetId="6" state="visible" r:id="rId6"/>
    <sheet xmlns:r="http://schemas.openxmlformats.org/officeDocument/2006/relationships" name="纳指1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+0%"/>
    <numFmt numFmtId="167" formatCode="#,##0.0000"/>
    <numFmt numFmtId="168" formatCode="+0.00%;-0.00%;0.00%"/>
  </numFmts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color rgb="00808080"/>
      <sz val="10"/>
    </font>
    <font>
      <b val="1"/>
      <color rgb="00FFFFFF"/>
      <sz val="11"/>
    </font>
    <font>
      <b val="1"/>
      <sz val="11"/>
    </font>
    <font>
      <sz val="11"/>
    </font>
    <font>
      <b val="1"/>
      <color rgb="002F5496"/>
      <sz val="13"/>
    </font>
    <font>
      <b val="1"/>
      <color rgb="002F5496"/>
      <sz val="16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BF3E8"/>
        <bgColor rgb="00EBF3E8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8CBAD"/>
        <bgColor rgb="00F8CBA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定投汇总看板</t>
        </is>
      </c>
    </row>
    <row r="2">
      <c r="A2" s="2" t="inlineStr">
        <is>
          <t>数据来源：各标的记录表 &amp; 每期汇总；本表只读</t>
        </is>
      </c>
    </row>
    <row r="4">
      <c r="A4" s="3" t="inlineStr">
        <is>
          <t>一、持仓概览</t>
        </is>
      </c>
    </row>
    <row r="5">
      <c r="A5" s="4" t="inlineStr">
        <is>
          <t>标的</t>
        </is>
      </c>
      <c r="B5" s="4" t="inlineStr">
        <is>
          <t>市场</t>
        </is>
      </c>
      <c r="C5" s="4" t="inlineStr">
        <is>
          <t>当前期数</t>
        </is>
      </c>
      <c r="D5" s="4" t="inlineStr">
        <is>
          <t>目标市值</t>
        </is>
      </c>
      <c r="E5" s="4" t="inlineStr">
        <is>
          <t>当前持仓市值</t>
        </is>
      </c>
      <c r="F5" s="4" t="inlineStr">
        <is>
          <t>累计净投入</t>
        </is>
      </c>
      <c r="G5" s="4" t="inlineStr">
        <is>
          <t>浮动盈亏</t>
        </is>
      </c>
    </row>
    <row r="6">
      <c r="A6" s="5" t="inlineStr">
        <is>
          <t>沪深300 ETF</t>
        </is>
      </c>
      <c r="B6" s="6" t="inlineStr">
        <is>
          <t>A股</t>
        </is>
      </c>
      <c r="C6" s="6">
        <f>IFERROR(LOOKUP(2,1/(沪深300!B5:B1000&lt;&gt;""),沪深300!B5:B1000),0)</f>
        <v/>
      </c>
      <c r="D6" s="7">
        <f>IFERROR(LOOKUP(2,1/(沪深300!C5:C1000&lt;&gt;""),沪深300!C5:C1000),0)</f>
        <v/>
      </c>
      <c r="E6" s="7">
        <f>IFERROR(LOOKUP(2,1/(沪深300!H5:H1000&lt;&gt;""),沪深300!H5:H1000),0)</f>
        <v/>
      </c>
      <c r="F6" s="7">
        <f>IFERROR(LOOKUP(2,1/(沪深300!O5:O1000&lt;&gt;""),沪深300!O5:O1000),0)</f>
        <v/>
      </c>
      <c r="G6" s="7">
        <f>IFERROR(LOOKUP(2,1/(沪深300!H5:H1000&lt;&gt;""),沪深300!H5:H1000)-LOOKUP(2,1/(沪深300!O5:O1000&lt;&gt;""),沪深300!O5:O1000),0)</f>
        <v/>
      </c>
    </row>
    <row r="7">
      <c r="A7" s="5" t="inlineStr">
        <is>
          <t>中证500 ETF</t>
        </is>
      </c>
      <c r="B7" s="6" t="inlineStr">
        <is>
          <t>A股</t>
        </is>
      </c>
      <c r="C7" s="6">
        <f>IFERROR(LOOKUP(2,1/(中证500!B5:B1000&lt;&gt;""),中证500!B5:B1000),0)</f>
        <v/>
      </c>
      <c r="D7" s="7">
        <f>IFERROR(LOOKUP(2,1/(中证500!C5:C1000&lt;&gt;""),中证500!C5:C1000),0)</f>
        <v/>
      </c>
      <c r="E7" s="7">
        <f>IFERROR(LOOKUP(2,1/(中证500!H5:H1000&lt;&gt;""),中证500!H5:H1000),0)</f>
        <v/>
      </c>
      <c r="F7" s="7">
        <f>IFERROR(LOOKUP(2,1/(中证500!O5:O1000&lt;&gt;""),中证500!O5:O1000),0)</f>
        <v/>
      </c>
      <c r="G7" s="7">
        <f>IFERROR(LOOKUP(2,1/(中证500!H5:H1000&lt;&gt;""),中证500!H5:H1000)-LOOKUP(2,1/(中证500!O5:O1000&lt;&gt;""),中证500!O5:O1000),0)</f>
        <v/>
      </c>
    </row>
    <row r="8">
      <c r="A8" s="5" t="inlineStr">
        <is>
          <t>恒生指数 ETF</t>
        </is>
      </c>
      <c r="B8" s="6" t="inlineStr">
        <is>
          <t>港股</t>
        </is>
      </c>
      <c r="C8" s="6">
        <f>IFERROR(LOOKUP(2,1/(恒生指数!B5:B1000&lt;&gt;""),恒生指数!B5:B1000),0)</f>
        <v/>
      </c>
      <c r="D8" s="7">
        <f>IFERROR(LOOKUP(2,1/(恒生指数!C5:C1000&lt;&gt;""),恒生指数!C5:C1000),0)</f>
        <v/>
      </c>
      <c r="E8" s="7">
        <f>IFERROR(LOOKUP(2,1/(恒生指数!H5:H1000&lt;&gt;""),恒生指数!H5:H1000),0)</f>
        <v/>
      </c>
      <c r="F8" s="7">
        <f>IFERROR(LOOKUP(2,1/(恒生指数!O5:O1000&lt;&gt;""),恒生指数!O5:O1000),0)</f>
        <v/>
      </c>
      <c r="G8" s="7">
        <f>IFERROR(LOOKUP(2,1/(恒生指数!H5:H1000&lt;&gt;""),恒生指数!H5:H1000)-LOOKUP(2,1/(恒生指数!O5:O1000&lt;&gt;""),恒生指数!O5:O1000),0)</f>
        <v/>
      </c>
    </row>
    <row r="9">
      <c r="A9" s="5" t="inlineStr">
        <is>
          <t>纳指100 ETF</t>
        </is>
      </c>
      <c r="B9" s="6" t="inlineStr">
        <is>
          <t>美股</t>
        </is>
      </c>
      <c r="C9" s="6">
        <f>IFERROR(LOOKUP(2,1/(纳指100!B5:B1000&lt;&gt;""),纳指100!B5:B1000),0)</f>
        <v/>
      </c>
      <c r="D9" s="7">
        <f>IFERROR(LOOKUP(2,1/(纳指100!C5:C1000&lt;&gt;""),纳指100!C5:C1000),0)</f>
        <v/>
      </c>
      <c r="E9" s="7">
        <f>IFERROR(LOOKUP(2,1/(纳指100!H5:H1000&lt;&gt;""),纳指100!H5:H1000),0)</f>
        <v/>
      </c>
      <c r="F9" s="7">
        <f>IFERROR(LOOKUP(2,1/(纳指100!O5:O1000&lt;&gt;""),纳指100!O5:O1000),0)</f>
        <v/>
      </c>
      <c r="G9" s="7">
        <f>IFERROR(LOOKUP(2,1/(纳指100!H5:H1000&lt;&gt;""),纳指100!H5:H1000)-LOOKUP(2,1/(纳指100!O5:O1000&lt;&gt;""),纳指100!O5:O1000),0)</f>
        <v/>
      </c>
    </row>
    <row r="10">
      <c r="A10" s="8" t="inlineStr">
        <is>
          <t>合计</t>
        </is>
      </c>
      <c r="B10" s="9" t="inlineStr"/>
      <c r="C10" s="9" t="inlineStr"/>
      <c r="D10" s="10">
        <f>SUM(D6:D9)</f>
        <v/>
      </c>
      <c r="E10" s="10">
        <f>SUM(E6:E9)</f>
        <v/>
      </c>
      <c r="F10" s="10">
        <f>SUM(F6:F9)</f>
        <v/>
      </c>
      <c r="G10" s="10">
        <f>SUM(G6:G9)</f>
        <v/>
      </c>
    </row>
    <row r="12">
      <c r="A12" s="3" t="inlineStr">
        <is>
          <t>二、储备金池 &amp; 阶段</t>
        </is>
      </c>
    </row>
    <row r="13">
      <c r="A13" s="5" t="inlineStr">
        <is>
          <t>当前阶段</t>
        </is>
      </c>
      <c r="B13" s="11">
        <f>IFERROR(LOOKUP(2,1/(每期汇总!M5:M1000&lt;&gt;""),每期汇总!M5:M1000),"存量阶段")</f>
        <v/>
      </c>
      <c r="C13" s="12" t="n"/>
      <c r="D13" s="12" t="n"/>
      <c r="E13" s="12" t="n"/>
      <c r="F13" s="12" t="n"/>
      <c r="G13" s="12" t="n"/>
    </row>
    <row r="14">
      <c r="A14" s="5" t="inlineStr">
        <is>
          <t>储备金池余额</t>
        </is>
      </c>
      <c r="B14" s="13">
        <f>IFERROR(LOOKUP(2,1/(每期汇总!K5:K1000&lt;&gt;""),每期汇总!K5:K1000),0)</f>
        <v/>
      </c>
      <c r="C14" s="12" t="n"/>
      <c r="D14" s="12" t="n"/>
      <c r="E14" s="12" t="n"/>
      <c r="F14" s="12" t="n"/>
      <c r="G14" s="12" t="n"/>
    </row>
    <row r="15">
      <c r="A15" s="5" t="inlineStr">
        <is>
          <t>四标的累计净投入</t>
        </is>
      </c>
      <c r="B15" s="13">
        <f>IFERROR(LOOKUP(2,1/(每期汇总!L5:L1000&lt;&gt;""),每期汇总!L5:L1000),0)</f>
        <v/>
      </c>
      <c r="C15" s="12" t="n"/>
      <c r="D15" s="12" t="n"/>
      <c r="E15" s="12" t="n"/>
      <c r="F15" s="12" t="n"/>
      <c r="G15" s="12" t="n"/>
    </row>
    <row r="16">
      <c r="A16" s="5" t="inlineStr">
        <is>
          <t>距触发增量阶段还差</t>
        </is>
      </c>
      <c r="B16" s="13">
        <f>MAX(0,参数配置!$C$18-IFERROR(LOOKUP(2,1/(每期汇总!L5:L1000&lt;&gt;""),每期汇总!L5:L1000),0))</f>
        <v/>
      </c>
      <c r="C16" s="12" t="n"/>
      <c r="D16" s="12" t="n"/>
      <c r="E16" s="12" t="n"/>
      <c r="F16" s="12" t="n"/>
      <c r="G16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0" customWidth="1" min="13" max="13"/>
  </cols>
  <sheetData>
    <row r="1">
      <c r="A1" s="14" t="inlineStr">
        <is>
          <t>每期汇总 — 增量阶段 &amp; 储备金池追踪</t>
        </is>
      </c>
    </row>
    <row r="2">
      <c r="A2" s="2" t="inlineStr">
        <is>
          <t>黄色=手动填写  绿色=自动计算 | 存量阶段：自掏腰包买入，收割进储备金；增量阶段：自掏2000/期注入池，买卖均走储备金</t>
        </is>
      </c>
    </row>
    <row r="4" ht="40" customHeight="1">
      <c r="A4" s="4" t="inlineStr">
        <is>
          <t>期数</t>
        </is>
      </c>
      <c r="B4" s="4" t="inlineStr">
        <is>
          <t>日期</t>
        </is>
      </c>
      <c r="C4" s="4" t="inlineStr">
        <is>
          <t>沪深300
操作(元)</t>
        </is>
      </c>
      <c r="D4" s="4" t="inlineStr">
        <is>
          <t>中证500
操作(元)</t>
        </is>
      </c>
      <c r="E4" s="4" t="inlineStr">
        <is>
          <t>恒生指数
操作(元)</t>
        </is>
      </c>
      <c r="F4" s="4" t="inlineStr">
        <is>
          <t>纳指100
操作(元)</t>
        </is>
      </c>
      <c r="G4" s="4" t="inlineStr">
        <is>
          <t>本期自掏
腰包(元)</t>
        </is>
      </c>
      <c r="H4" s="4" t="inlineStr">
        <is>
          <t>本期增量
注入(元)</t>
        </is>
      </c>
      <c r="I4" s="4" t="inlineStr">
        <is>
          <t>本期收割
入池(元)</t>
        </is>
      </c>
      <c r="J4" s="4" t="inlineStr">
        <is>
          <t>本期从池
支出(元)</t>
        </is>
      </c>
      <c r="K4" s="4" t="inlineStr">
        <is>
          <t>储备金池
余额(元)</t>
        </is>
      </c>
      <c r="L4" s="4" t="inlineStr">
        <is>
          <t>四标的累计
净投入(元)</t>
        </is>
      </c>
      <c r="M4" s="4" t="inlineStr">
        <is>
          <t>当前阶段</t>
        </is>
      </c>
    </row>
    <row r="5">
      <c r="A5" s="15" t="n">
        <v>1</v>
      </c>
      <c r="B5" s="33" t="inlineStr">
        <is>
          <t>2026-04-24</t>
        </is>
      </c>
      <c r="C5" s="7">
        <f>IFERROR(SUMIF(沪深300!$B$5:$B$1000,A5,沪深300!$L$5:$L$1000),"")</f>
        <v/>
      </c>
      <c r="D5" s="7">
        <f>IFERROR(SUMIF(中证500!$B$5:$B$1000,A5,中证500!$L$5:$L$1000),"")</f>
        <v/>
      </c>
      <c r="E5" s="7">
        <f>IFERROR(SUMIF(恒生指数!$B$5:$B$1000,A5,恒生指数!$L$5:$L$1000),"")</f>
        <v/>
      </c>
      <c r="F5" s="7">
        <f>IFERROR(SUMIF(纳指100!$B$5:$B$1000,A5,纳指100!$L$5:$L$1000),"")</f>
        <v/>
      </c>
      <c r="G5" s="7">
        <f>IFERROR(IF(M5="增量阶段",H5,SUMPRODUCT(MAX(C5,0),1)+SUMPRODUCT(MAX(D5,0),1)+SUMPRODUCT(MAX(E5,0),1)+SUMPRODUCT(MAX(F5,0),1)),"")</f>
        <v/>
      </c>
      <c r="H5" s="17" t="n">
        <v>0</v>
      </c>
      <c r="I5" s="7">
        <f>IFERROR(MAX(-C5,0)+MAX(-D5,0)+MAX(-E5,0)+MAX(-F5,0),"")</f>
        <v/>
      </c>
      <c r="J5" s="7">
        <f>IFERROR(IF(M5="增量阶段",MAX(C5,0)+MAX(D5,0)+MAX(E5,0)+MAX(F5,0),0),"")</f>
        <v/>
      </c>
      <c r="K5" s="13">
        <f>IFERROR(H5+I5-J5,"")</f>
        <v/>
      </c>
      <c r="L5" s="7">
        <f>IFERROR(C5+D5+E5+F5,"")</f>
        <v/>
      </c>
      <c r="M5" s="5">
        <f>IFERROR(IF(L5&gt;=参数配置!$C$18,"增量阶段","存量阶段"),"")</f>
        <v/>
      </c>
    </row>
    <row r="6">
      <c r="A6" s="15" t="n">
        <v>2</v>
      </c>
      <c r="B6" s="33" t="inlineStr">
        <is>
          <t>2026-05-08</t>
        </is>
      </c>
      <c r="C6" s="7">
        <f>IFERROR(SUMIF(沪深300!$B$5:$B$1000,A6,沪深300!$L$5:$L$1000),"")</f>
        <v/>
      </c>
      <c r="D6" s="7">
        <f>IFERROR(SUMIF(中证500!$B$5:$B$1000,A6,中证500!$L$5:$L$1000),"")</f>
        <v/>
      </c>
      <c r="E6" s="7">
        <f>IFERROR(SUMIF(恒生指数!$B$5:$B$1000,A6,恒生指数!$L$5:$L$1000),"")</f>
        <v/>
      </c>
      <c r="F6" s="7">
        <f>IFERROR(SUMIF(纳指100!$B$5:$B$1000,A6,纳指100!$L$5:$L$1000),"")</f>
        <v/>
      </c>
      <c r="G6" s="7">
        <f>IFERROR(IF(M6="增量阶段",H6,SUMPRODUCT(MAX(C6,0),1)+SUMPRODUCT(MAX(D6,0),1)+SUMPRODUCT(MAX(E6,0),1)+SUMPRODUCT(MAX(F6,0),1)),"")</f>
        <v/>
      </c>
      <c r="H6" s="17" t="n">
        <v>0</v>
      </c>
      <c r="I6" s="7">
        <f>IFERROR(MAX(-C6,0)+MAX(-D6,0)+MAX(-E6,0)+MAX(-F6,0),"")</f>
        <v/>
      </c>
      <c r="J6" s="7">
        <f>IFERROR(IF(M6="增量阶段",MAX(C6,0)+MAX(D6,0)+MAX(E6,0)+MAX(F6,0),0),"")</f>
        <v/>
      </c>
      <c r="K6" s="13">
        <f>IFERROR(K5+H6+I6-J6,"")</f>
        <v/>
      </c>
      <c r="L6" s="7">
        <f>IFERROR(L5+C6+D6+E6+F6,"")</f>
        <v/>
      </c>
      <c r="M6" s="5">
        <f>IFERROR(IF(L6&gt;=参数配置!$C$18,"增量阶段","存量阶段"),"")</f>
        <v/>
      </c>
    </row>
    <row r="7">
      <c r="A7" s="15" t="n">
        <v>3</v>
      </c>
      <c r="B7" s="33" t="inlineStr">
        <is>
          <t>2026-05-22</t>
        </is>
      </c>
      <c r="C7" s="7">
        <f>IFERROR(SUMIF(沪深300!$B$5:$B$1000,A7,沪深300!$L$5:$L$1000),"")</f>
        <v/>
      </c>
      <c r="D7" s="7">
        <f>IFERROR(SUMIF(中证500!$B$5:$B$1000,A7,中证500!$L$5:$L$1000),"")</f>
        <v/>
      </c>
      <c r="E7" s="7">
        <f>IFERROR(SUMIF(恒生指数!$B$5:$B$1000,A7,恒生指数!$L$5:$L$1000),"")</f>
        <v/>
      </c>
      <c r="F7" s="7">
        <f>IFERROR(SUMIF(纳指100!$B$5:$B$1000,A7,纳指100!$L$5:$L$1000),"")</f>
        <v/>
      </c>
      <c r="G7" s="7">
        <f>IFERROR(IF(M7="增量阶段",H7,SUMPRODUCT(MAX(C7,0),1)+SUMPRODUCT(MAX(D7,0),1)+SUMPRODUCT(MAX(E7,0),1)+SUMPRODUCT(MAX(F7,0),1)),"")</f>
        <v/>
      </c>
      <c r="H7" s="17" t="n">
        <v>0</v>
      </c>
      <c r="I7" s="7">
        <f>IFERROR(MAX(-C7,0)+MAX(-D7,0)+MAX(-E7,0)+MAX(-F7,0),"")</f>
        <v/>
      </c>
      <c r="J7" s="7">
        <f>IFERROR(IF(M7="增量阶段",MAX(C7,0)+MAX(D7,0)+MAX(E7,0)+MAX(F7,0),0),"")</f>
        <v/>
      </c>
      <c r="K7" s="13">
        <f>IFERROR(K6+H7+I7-J7,"")</f>
        <v/>
      </c>
      <c r="L7" s="7">
        <f>IFERROR(L6+C7+D7+E7+F7,"")</f>
        <v/>
      </c>
      <c r="M7" s="5">
        <f>IFERROR(IF(L7&gt;=参数配置!$C$18,"增量阶段","存量阶段"),"")</f>
        <v/>
      </c>
    </row>
    <row r="8">
      <c r="A8" s="15" t="n"/>
      <c r="B8" s="33" t="n"/>
      <c r="C8" s="7">
        <f>IFERROR(SUMIF(沪深300!$B$5:$B$1000,A8,沪深300!$L$5:$L$1000),"")</f>
        <v/>
      </c>
      <c r="D8" s="7">
        <f>IFERROR(SUMIF(中证500!$B$5:$B$1000,A8,中证500!$L$5:$L$1000),"")</f>
        <v/>
      </c>
      <c r="E8" s="7">
        <f>IFERROR(SUMIF(恒生指数!$B$5:$B$1000,A8,恒生指数!$L$5:$L$1000),"")</f>
        <v/>
      </c>
      <c r="F8" s="7">
        <f>IFERROR(SUMIF(纳指100!$B$5:$B$1000,A8,纳指100!$L$5:$L$1000),"")</f>
        <v/>
      </c>
      <c r="G8" s="7">
        <f>IFERROR(IF(M8="增量阶段",H8,SUMPRODUCT(MAX(C8,0),1)+SUMPRODUCT(MAX(D8,0),1)+SUMPRODUCT(MAX(E8,0),1)+SUMPRODUCT(MAX(F8,0),1)),"")</f>
        <v/>
      </c>
      <c r="H8" s="17" t="n"/>
      <c r="I8" s="7">
        <f>IFERROR(MAX(-C8,0)+MAX(-D8,0)+MAX(-E8,0)+MAX(-F8,0),"")</f>
        <v/>
      </c>
      <c r="J8" s="7">
        <f>IFERROR(IF(M8="增量阶段",MAX(C8,0)+MAX(D8,0)+MAX(E8,0)+MAX(F8,0),0),"")</f>
        <v/>
      </c>
      <c r="K8" s="13">
        <f>IFERROR(K7+H8+I8-J8,"")</f>
        <v/>
      </c>
      <c r="L8" s="7">
        <f>IFERROR(L7+C8+D8+E8+F8,"")</f>
        <v/>
      </c>
      <c r="M8" s="5">
        <f>IFERROR(IF(L8&gt;=参数配置!$C$18,"增量阶段","存量阶段"),"")</f>
        <v/>
      </c>
    </row>
    <row r="9">
      <c r="A9" s="15" t="n"/>
      <c r="B9" s="33" t="n"/>
      <c r="C9" s="7">
        <f>IFERROR(SUMIF(沪深300!$B$5:$B$1000,A9,沪深300!$L$5:$L$1000),"")</f>
        <v/>
      </c>
      <c r="D9" s="7">
        <f>IFERROR(SUMIF(中证500!$B$5:$B$1000,A9,中证500!$L$5:$L$1000),"")</f>
        <v/>
      </c>
      <c r="E9" s="7">
        <f>IFERROR(SUMIF(恒生指数!$B$5:$B$1000,A9,恒生指数!$L$5:$L$1000),"")</f>
        <v/>
      </c>
      <c r="F9" s="7">
        <f>IFERROR(SUMIF(纳指100!$B$5:$B$1000,A9,纳指100!$L$5:$L$1000),"")</f>
        <v/>
      </c>
      <c r="G9" s="7">
        <f>IFERROR(IF(M9="增量阶段",H9,SUMPRODUCT(MAX(C9,0),1)+SUMPRODUCT(MAX(D9,0),1)+SUMPRODUCT(MAX(E9,0),1)+SUMPRODUCT(MAX(F9,0),1)),"")</f>
        <v/>
      </c>
      <c r="H9" s="17" t="n"/>
      <c r="I9" s="7">
        <f>IFERROR(MAX(-C9,0)+MAX(-D9,0)+MAX(-E9,0)+MAX(-F9,0),"")</f>
        <v/>
      </c>
      <c r="J9" s="7">
        <f>IFERROR(IF(M9="增量阶段",MAX(C9,0)+MAX(D9,0)+MAX(E9,0)+MAX(F9,0),0),"")</f>
        <v/>
      </c>
      <c r="K9" s="13">
        <f>IFERROR(K8+H9+I9-J9,"")</f>
        <v/>
      </c>
      <c r="L9" s="7">
        <f>IFERROR(L8+C9+D9+E9+F9,"")</f>
        <v/>
      </c>
      <c r="M9" s="5">
        <f>IFERROR(IF(L9&gt;=参数配置!$C$18,"增量阶段","存量阶段"),"")</f>
        <v/>
      </c>
    </row>
    <row r="10">
      <c r="A10" s="15" t="n"/>
      <c r="B10" s="33" t="n"/>
      <c r="C10" s="7">
        <f>IFERROR(SUMIF(沪深300!$B$5:$B$1000,A10,沪深300!$L$5:$L$1000),"")</f>
        <v/>
      </c>
      <c r="D10" s="7">
        <f>IFERROR(SUMIF(中证500!$B$5:$B$1000,A10,中证500!$L$5:$L$1000),"")</f>
        <v/>
      </c>
      <c r="E10" s="7">
        <f>IFERROR(SUMIF(恒生指数!$B$5:$B$1000,A10,恒生指数!$L$5:$L$1000),"")</f>
        <v/>
      </c>
      <c r="F10" s="7">
        <f>IFERROR(SUMIF(纳指100!$B$5:$B$1000,A10,纳指100!$L$5:$L$1000),"")</f>
        <v/>
      </c>
      <c r="G10" s="7">
        <f>IFERROR(IF(M10="增量阶段",H10,SUMPRODUCT(MAX(C10,0),1)+SUMPRODUCT(MAX(D10,0),1)+SUMPRODUCT(MAX(E10,0),1)+SUMPRODUCT(MAX(F10,0),1)),"")</f>
        <v/>
      </c>
      <c r="H10" s="17" t="n"/>
      <c r="I10" s="7">
        <f>IFERROR(MAX(-C10,0)+MAX(-D10,0)+MAX(-E10,0)+MAX(-F10,0),"")</f>
        <v/>
      </c>
      <c r="J10" s="7">
        <f>IFERROR(IF(M10="增量阶段",MAX(C10,0)+MAX(D10,0)+MAX(E10,0)+MAX(F10,0),0),"")</f>
        <v/>
      </c>
      <c r="K10" s="13">
        <f>IFERROR(K9+H10+I10-J10,"")</f>
        <v/>
      </c>
      <c r="L10" s="7">
        <f>IFERROR(L9+C10+D10+E10+F10,"")</f>
        <v/>
      </c>
      <c r="M10" s="5">
        <f>IFERROR(IF(L10&gt;=参数配置!$C$18,"增量阶段","存量阶段"),"")</f>
        <v/>
      </c>
    </row>
    <row r="11">
      <c r="A11" s="15" t="n"/>
      <c r="B11" s="33" t="n"/>
      <c r="C11" s="7">
        <f>IFERROR(SUMIF(沪深300!$B$5:$B$1000,A11,沪深300!$L$5:$L$1000),"")</f>
        <v/>
      </c>
      <c r="D11" s="7">
        <f>IFERROR(SUMIF(中证500!$B$5:$B$1000,A11,中证500!$L$5:$L$1000),"")</f>
        <v/>
      </c>
      <c r="E11" s="7">
        <f>IFERROR(SUMIF(恒生指数!$B$5:$B$1000,A11,恒生指数!$L$5:$L$1000),"")</f>
        <v/>
      </c>
      <c r="F11" s="7">
        <f>IFERROR(SUMIF(纳指100!$B$5:$B$1000,A11,纳指100!$L$5:$L$1000),"")</f>
        <v/>
      </c>
      <c r="G11" s="7">
        <f>IFERROR(IF(M11="增量阶段",H11,SUMPRODUCT(MAX(C11,0),1)+SUMPRODUCT(MAX(D11,0),1)+SUMPRODUCT(MAX(E11,0),1)+SUMPRODUCT(MAX(F11,0),1)),"")</f>
        <v/>
      </c>
      <c r="H11" s="17" t="n"/>
      <c r="I11" s="7">
        <f>IFERROR(MAX(-C11,0)+MAX(-D11,0)+MAX(-E11,0)+MAX(-F11,0),"")</f>
        <v/>
      </c>
      <c r="J11" s="7">
        <f>IFERROR(IF(M11="增量阶段",MAX(C11,0)+MAX(D11,0)+MAX(E11,0)+MAX(F11,0),0),"")</f>
        <v/>
      </c>
      <c r="K11" s="13">
        <f>IFERROR(K10+H11+I11-J11,"")</f>
        <v/>
      </c>
      <c r="L11" s="7">
        <f>IFERROR(L10+C11+D11+E11+F11,"")</f>
        <v/>
      </c>
      <c r="M11" s="5">
        <f>IFERROR(IF(L11&gt;=参数配置!$C$18,"增量阶段","存量阶段"),"")</f>
        <v/>
      </c>
    </row>
    <row r="12">
      <c r="A12" s="15" t="n"/>
      <c r="B12" s="33" t="n"/>
      <c r="C12" s="7">
        <f>IFERROR(SUMIF(沪深300!$B$5:$B$1000,A12,沪深300!$L$5:$L$1000),"")</f>
        <v/>
      </c>
      <c r="D12" s="7">
        <f>IFERROR(SUMIF(中证500!$B$5:$B$1000,A12,中证500!$L$5:$L$1000),"")</f>
        <v/>
      </c>
      <c r="E12" s="7">
        <f>IFERROR(SUMIF(恒生指数!$B$5:$B$1000,A12,恒生指数!$L$5:$L$1000),"")</f>
        <v/>
      </c>
      <c r="F12" s="7">
        <f>IFERROR(SUMIF(纳指100!$B$5:$B$1000,A12,纳指100!$L$5:$L$1000),"")</f>
        <v/>
      </c>
      <c r="G12" s="7">
        <f>IFERROR(IF(M12="增量阶段",H12,SUMPRODUCT(MAX(C12,0),1)+SUMPRODUCT(MAX(D12,0),1)+SUMPRODUCT(MAX(E12,0),1)+SUMPRODUCT(MAX(F12,0),1)),"")</f>
        <v/>
      </c>
      <c r="H12" s="17" t="n"/>
      <c r="I12" s="7">
        <f>IFERROR(MAX(-C12,0)+MAX(-D12,0)+MAX(-E12,0)+MAX(-F12,0),"")</f>
        <v/>
      </c>
      <c r="J12" s="7">
        <f>IFERROR(IF(M12="增量阶段",MAX(C12,0)+MAX(D12,0)+MAX(E12,0)+MAX(F12,0),0),"")</f>
        <v/>
      </c>
      <c r="K12" s="13">
        <f>IFERROR(K11+H12+I12-J12,"")</f>
        <v/>
      </c>
      <c r="L12" s="7">
        <f>IFERROR(L11+C12+D12+E12+F12,"")</f>
        <v/>
      </c>
      <c r="M12" s="5">
        <f>IFERROR(IF(L12&gt;=参数配置!$C$18,"增量阶段","存量阶段"),"")</f>
        <v/>
      </c>
    </row>
    <row r="13">
      <c r="A13" s="15" t="n"/>
      <c r="B13" s="33" t="n"/>
      <c r="C13" s="7">
        <f>IFERROR(SUMIF(沪深300!$B$5:$B$1000,A13,沪深300!$L$5:$L$1000),"")</f>
        <v/>
      </c>
      <c r="D13" s="7">
        <f>IFERROR(SUMIF(中证500!$B$5:$B$1000,A13,中证500!$L$5:$L$1000),"")</f>
        <v/>
      </c>
      <c r="E13" s="7">
        <f>IFERROR(SUMIF(恒生指数!$B$5:$B$1000,A13,恒生指数!$L$5:$L$1000),"")</f>
        <v/>
      </c>
      <c r="F13" s="7">
        <f>IFERROR(SUMIF(纳指100!$B$5:$B$1000,A13,纳指100!$L$5:$L$1000),"")</f>
        <v/>
      </c>
      <c r="G13" s="7">
        <f>IFERROR(IF(M13="增量阶段",H13,SUMPRODUCT(MAX(C13,0),1)+SUMPRODUCT(MAX(D13,0),1)+SUMPRODUCT(MAX(E13,0),1)+SUMPRODUCT(MAX(F13,0),1)),"")</f>
        <v/>
      </c>
      <c r="H13" s="17" t="n"/>
      <c r="I13" s="7">
        <f>IFERROR(MAX(-C13,0)+MAX(-D13,0)+MAX(-E13,0)+MAX(-F13,0),"")</f>
        <v/>
      </c>
      <c r="J13" s="7">
        <f>IFERROR(IF(M13="增量阶段",MAX(C13,0)+MAX(D13,0)+MAX(E13,0)+MAX(F13,0),0),"")</f>
        <v/>
      </c>
      <c r="K13" s="13">
        <f>IFERROR(K12+H13+I13-J13,"")</f>
        <v/>
      </c>
      <c r="L13" s="7">
        <f>IFERROR(L12+C13+D13+E13+F13,"")</f>
        <v/>
      </c>
      <c r="M13" s="5">
        <f>IFERROR(IF(L13&gt;=参数配置!$C$18,"增量阶段","存量阶段"),"")</f>
        <v/>
      </c>
    </row>
    <row r="14">
      <c r="A14" s="15" t="n"/>
      <c r="B14" s="33" t="n"/>
      <c r="C14" s="7">
        <f>IFERROR(SUMIF(沪深300!$B$5:$B$1000,A14,沪深300!$L$5:$L$1000),"")</f>
        <v/>
      </c>
      <c r="D14" s="7">
        <f>IFERROR(SUMIF(中证500!$B$5:$B$1000,A14,中证500!$L$5:$L$1000),"")</f>
        <v/>
      </c>
      <c r="E14" s="7">
        <f>IFERROR(SUMIF(恒生指数!$B$5:$B$1000,A14,恒生指数!$L$5:$L$1000),"")</f>
        <v/>
      </c>
      <c r="F14" s="7">
        <f>IFERROR(SUMIF(纳指100!$B$5:$B$1000,A14,纳指100!$L$5:$L$1000),"")</f>
        <v/>
      </c>
      <c r="G14" s="7">
        <f>IFERROR(IF(M14="增量阶段",H14,SUMPRODUCT(MAX(C14,0),1)+SUMPRODUCT(MAX(D14,0),1)+SUMPRODUCT(MAX(E14,0),1)+SUMPRODUCT(MAX(F14,0),1)),"")</f>
        <v/>
      </c>
      <c r="H14" s="17" t="n"/>
      <c r="I14" s="7">
        <f>IFERROR(MAX(-C14,0)+MAX(-D14,0)+MAX(-E14,0)+MAX(-F14,0),"")</f>
        <v/>
      </c>
      <c r="J14" s="7">
        <f>IFERROR(IF(M14="增量阶段",MAX(C14,0)+MAX(D14,0)+MAX(E14,0)+MAX(F14,0),0),"")</f>
        <v/>
      </c>
      <c r="K14" s="13">
        <f>IFERROR(K13+H14+I14-J14,"")</f>
        <v/>
      </c>
      <c r="L14" s="7">
        <f>IFERROR(L13+C14+D14+E14+F14,"")</f>
        <v/>
      </c>
      <c r="M14" s="5">
        <f>IFERROR(IF(L14&gt;=参数配置!$C$18,"增量阶段","存量阶段"),"")</f>
        <v/>
      </c>
    </row>
    <row r="15">
      <c r="A15" s="15" t="n"/>
      <c r="B15" s="33" t="n"/>
      <c r="C15" s="7">
        <f>IFERROR(SUMIF(沪深300!$B$5:$B$1000,A15,沪深300!$L$5:$L$1000),"")</f>
        <v/>
      </c>
      <c r="D15" s="7">
        <f>IFERROR(SUMIF(中证500!$B$5:$B$1000,A15,中证500!$L$5:$L$1000),"")</f>
        <v/>
      </c>
      <c r="E15" s="7">
        <f>IFERROR(SUMIF(恒生指数!$B$5:$B$1000,A15,恒生指数!$L$5:$L$1000),"")</f>
        <v/>
      </c>
      <c r="F15" s="7">
        <f>IFERROR(SUMIF(纳指100!$B$5:$B$1000,A15,纳指100!$L$5:$L$1000),"")</f>
        <v/>
      </c>
      <c r="G15" s="7">
        <f>IFERROR(IF(M15="增量阶段",H15,SUMPRODUCT(MAX(C15,0),1)+SUMPRODUCT(MAX(D15,0),1)+SUMPRODUCT(MAX(E15,0),1)+SUMPRODUCT(MAX(F15,0),1)),"")</f>
        <v/>
      </c>
      <c r="H15" s="17" t="n"/>
      <c r="I15" s="7">
        <f>IFERROR(MAX(-C15,0)+MAX(-D15,0)+MAX(-E15,0)+MAX(-F15,0),"")</f>
        <v/>
      </c>
      <c r="J15" s="7">
        <f>IFERROR(IF(M15="增量阶段",MAX(C15,0)+MAX(D15,0)+MAX(E15,0)+MAX(F15,0),0),"")</f>
        <v/>
      </c>
      <c r="K15" s="13">
        <f>IFERROR(K14+H15+I15-J15,"")</f>
        <v/>
      </c>
      <c r="L15" s="7">
        <f>IFERROR(L14+C15+D15+E15+F15,"")</f>
        <v/>
      </c>
      <c r="M15" s="5">
        <f>IFERROR(IF(L15&gt;=参数配置!$C$18,"增量阶段","存量阶段"),"")</f>
        <v/>
      </c>
    </row>
    <row r="16">
      <c r="A16" s="15" t="n"/>
      <c r="B16" s="33" t="n"/>
      <c r="C16" s="7">
        <f>IFERROR(SUMIF(沪深300!$B$5:$B$1000,A16,沪深300!$L$5:$L$1000),"")</f>
        <v/>
      </c>
      <c r="D16" s="7">
        <f>IFERROR(SUMIF(中证500!$B$5:$B$1000,A16,中证500!$L$5:$L$1000),"")</f>
        <v/>
      </c>
      <c r="E16" s="7">
        <f>IFERROR(SUMIF(恒生指数!$B$5:$B$1000,A16,恒生指数!$L$5:$L$1000),"")</f>
        <v/>
      </c>
      <c r="F16" s="7">
        <f>IFERROR(SUMIF(纳指100!$B$5:$B$1000,A16,纳指100!$L$5:$L$1000),"")</f>
        <v/>
      </c>
      <c r="G16" s="7">
        <f>IFERROR(IF(M16="增量阶段",H16,SUMPRODUCT(MAX(C16,0),1)+SUMPRODUCT(MAX(D16,0),1)+SUMPRODUCT(MAX(E16,0),1)+SUMPRODUCT(MAX(F16,0),1)),"")</f>
        <v/>
      </c>
      <c r="H16" s="17" t="n"/>
      <c r="I16" s="7">
        <f>IFERROR(MAX(-C16,0)+MAX(-D16,0)+MAX(-E16,0)+MAX(-F16,0),"")</f>
        <v/>
      </c>
      <c r="J16" s="7">
        <f>IFERROR(IF(M16="增量阶段",MAX(C16,0)+MAX(D16,0)+MAX(E16,0)+MAX(F16,0),0),"")</f>
        <v/>
      </c>
      <c r="K16" s="13">
        <f>IFERROR(K15+H16+I16-J16,"")</f>
        <v/>
      </c>
      <c r="L16" s="7">
        <f>IFERROR(L15+C16+D16+E16+F16,"")</f>
        <v/>
      </c>
      <c r="M16" s="5">
        <f>IFERROR(IF(L16&gt;=参数配置!$C$18,"增量阶段","存量阶段"),"")</f>
        <v/>
      </c>
    </row>
    <row r="17">
      <c r="A17" s="15" t="n"/>
      <c r="B17" s="33" t="n"/>
      <c r="C17" s="7">
        <f>IFERROR(SUMIF(沪深300!$B$5:$B$1000,A17,沪深300!$L$5:$L$1000),"")</f>
        <v/>
      </c>
      <c r="D17" s="7">
        <f>IFERROR(SUMIF(中证500!$B$5:$B$1000,A17,中证500!$L$5:$L$1000),"")</f>
        <v/>
      </c>
      <c r="E17" s="7">
        <f>IFERROR(SUMIF(恒生指数!$B$5:$B$1000,A17,恒生指数!$L$5:$L$1000),"")</f>
        <v/>
      </c>
      <c r="F17" s="7">
        <f>IFERROR(SUMIF(纳指100!$B$5:$B$1000,A17,纳指100!$L$5:$L$1000),"")</f>
        <v/>
      </c>
      <c r="G17" s="7">
        <f>IFERROR(IF(M17="增量阶段",H17,SUMPRODUCT(MAX(C17,0),1)+SUMPRODUCT(MAX(D17,0),1)+SUMPRODUCT(MAX(E17,0),1)+SUMPRODUCT(MAX(F17,0),1)),"")</f>
        <v/>
      </c>
      <c r="H17" s="17" t="n"/>
      <c r="I17" s="7">
        <f>IFERROR(MAX(-C17,0)+MAX(-D17,0)+MAX(-E17,0)+MAX(-F17,0),"")</f>
        <v/>
      </c>
      <c r="J17" s="7">
        <f>IFERROR(IF(M17="增量阶段",MAX(C17,0)+MAX(D17,0)+MAX(E17,0)+MAX(F17,0),0),"")</f>
        <v/>
      </c>
      <c r="K17" s="13">
        <f>IFERROR(K16+H17+I17-J17,"")</f>
        <v/>
      </c>
      <c r="L17" s="7">
        <f>IFERROR(L16+C17+D17+E17+F17,"")</f>
        <v/>
      </c>
      <c r="M17" s="5">
        <f>IFERROR(IF(L17&gt;=参数配置!$C$18,"增量阶段","存量阶段"),"")</f>
        <v/>
      </c>
    </row>
    <row r="18">
      <c r="A18" s="15" t="n"/>
      <c r="B18" s="33" t="n"/>
      <c r="C18" s="7">
        <f>IFERROR(SUMIF(沪深300!$B$5:$B$1000,A18,沪深300!$L$5:$L$1000),"")</f>
        <v/>
      </c>
      <c r="D18" s="7">
        <f>IFERROR(SUMIF(中证500!$B$5:$B$1000,A18,中证500!$L$5:$L$1000),"")</f>
        <v/>
      </c>
      <c r="E18" s="7">
        <f>IFERROR(SUMIF(恒生指数!$B$5:$B$1000,A18,恒生指数!$L$5:$L$1000),"")</f>
        <v/>
      </c>
      <c r="F18" s="7">
        <f>IFERROR(SUMIF(纳指100!$B$5:$B$1000,A18,纳指100!$L$5:$L$1000),"")</f>
        <v/>
      </c>
      <c r="G18" s="7">
        <f>IFERROR(IF(M18="增量阶段",H18,SUMPRODUCT(MAX(C18,0),1)+SUMPRODUCT(MAX(D18,0),1)+SUMPRODUCT(MAX(E18,0),1)+SUMPRODUCT(MAX(F18,0),1)),"")</f>
        <v/>
      </c>
      <c r="H18" s="17" t="n"/>
      <c r="I18" s="7">
        <f>IFERROR(MAX(-C18,0)+MAX(-D18,0)+MAX(-E18,0)+MAX(-F18,0),"")</f>
        <v/>
      </c>
      <c r="J18" s="7">
        <f>IFERROR(IF(M18="增量阶段",MAX(C18,0)+MAX(D18,0)+MAX(E18,0)+MAX(F18,0),0),"")</f>
        <v/>
      </c>
      <c r="K18" s="13">
        <f>IFERROR(K17+H18+I18-J18,"")</f>
        <v/>
      </c>
      <c r="L18" s="7">
        <f>IFERROR(L17+C18+D18+E18+F18,"")</f>
        <v/>
      </c>
      <c r="M18" s="5">
        <f>IFERROR(IF(L18&gt;=参数配置!$C$18,"增量阶段","存量阶段"),"")</f>
        <v/>
      </c>
    </row>
    <row r="19">
      <c r="A19" s="15" t="n"/>
      <c r="B19" s="33" t="n"/>
      <c r="C19" s="7">
        <f>IFERROR(SUMIF(沪深300!$B$5:$B$1000,A19,沪深300!$L$5:$L$1000),"")</f>
        <v/>
      </c>
      <c r="D19" s="7">
        <f>IFERROR(SUMIF(中证500!$B$5:$B$1000,A19,中证500!$L$5:$L$1000),"")</f>
        <v/>
      </c>
      <c r="E19" s="7">
        <f>IFERROR(SUMIF(恒生指数!$B$5:$B$1000,A19,恒生指数!$L$5:$L$1000),"")</f>
        <v/>
      </c>
      <c r="F19" s="7">
        <f>IFERROR(SUMIF(纳指100!$B$5:$B$1000,A19,纳指100!$L$5:$L$1000),"")</f>
        <v/>
      </c>
      <c r="G19" s="7">
        <f>IFERROR(IF(M19="增量阶段",H19,SUMPRODUCT(MAX(C19,0),1)+SUMPRODUCT(MAX(D19,0),1)+SUMPRODUCT(MAX(E19,0),1)+SUMPRODUCT(MAX(F19,0),1)),"")</f>
        <v/>
      </c>
      <c r="H19" s="17" t="n"/>
      <c r="I19" s="7">
        <f>IFERROR(MAX(-C19,0)+MAX(-D19,0)+MAX(-E19,0)+MAX(-F19,0),"")</f>
        <v/>
      </c>
      <c r="J19" s="7">
        <f>IFERROR(IF(M19="增量阶段",MAX(C19,0)+MAX(D19,0)+MAX(E19,0)+MAX(F19,0),0),"")</f>
        <v/>
      </c>
      <c r="K19" s="13">
        <f>IFERROR(K18+H19+I19-J19,"")</f>
        <v/>
      </c>
      <c r="L19" s="7">
        <f>IFERROR(L18+C19+D19+E19+F19,"")</f>
        <v/>
      </c>
      <c r="M19" s="5">
        <f>IFERROR(IF(L19&gt;=参数配置!$C$18,"增量阶段","存量阶段"),"")</f>
        <v/>
      </c>
    </row>
    <row r="20">
      <c r="A20" s="15" t="n"/>
      <c r="B20" s="33" t="n"/>
      <c r="C20" s="7">
        <f>IFERROR(SUMIF(沪深300!$B$5:$B$1000,A20,沪深300!$L$5:$L$1000),"")</f>
        <v/>
      </c>
      <c r="D20" s="7">
        <f>IFERROR(SUMIF(中证500!$B$5:$B$1000,A20,中证500!$L$5:$L$1000),"")</f>
        <v/>
      </c>
      <c r="E20" s="7">
        <f>IFERROR(SUMIF(恒生指数!$B$5:$B$1000,A20,恒生指数!$L$5:$L$1000),"")</f>
        <v/>
      </c>
      <c r="F20" s="7">
        <f>IFERROR(SUMIF(纳指100!$B$5:$B$1000,A20,纳指100!$L$5:$L$1000),"")</f>
        <v/>
      </c>
      <c r="G20" s="7">
        <f>IFERROR(IF(M20="增量阶段",H20,SUMPRODUCT(MAX(C20,0),1)+SUMPRODUCT(MAX(D20,0),1)+SUMPRODUCT(MAX(E20,0),1)+SUMPRODUCT(MAX(F20,0),1)),"")</f>
        <v/>
      </c>
      <c r="H20" s="17" t="n"/>
      <c r="I20" s="7">
        <f>IFERROR(MAX(-C20,0)+MAX(-D20,0)+MAX(-E20,0)+MAX(-F20,0),"")</f>
        <v/>
      </c>
      <c r="J20" s="7">
        <f>IFERROR(IF(M20="增量阶段",MAX(C20,0)+MAX(D20,0)+MAX(E20,0)+MAX(F20,0),0),"")</f>
        <v/>
      </c>
      <c r="K20" s="13">
        <f>IFERROR(K19+H20+I20-J20,"")</f>
        <v/>
      </c>
      <c r="L20" s="7">
        <f>IFERROR(L19+C20+D20+E20+F20,"")</f>
        <v/>
      </c>
      <c r="M20" s="5">
        <f>IFERROR(IF(L20&gt;=参数配置!$C$18,"增量阶段","存量阶段"),"")</f>
        <v/>
      </c>
    </row>
    <row r="21">
      <c r="A21" s="15" t="n"/>
      <c r="B21" s="33" t="n"/>
      <c r="C21" s="7">
        <f>IFERROR(SUMIF(沪深300!$B$5:$B$1000,A21,沪深300!$L$5:$L$1000),"")</f>
        <v/>
      </c>
      <c r="D21" s="7">
        <f>IFERROR(SUMIF(中证500!$B$5:$B$1000,A21,中证500!$L$5:$L$1000),"")</f>
        <v/>
      </c>
      <c r="E21" s="7">
        <f>IFERROR(SUMIF(恒生指数!$B$5:$B$1000,A21,恒生指数!$L$5:$L$1000),"")</f>
        <v/>
      </c>
      <c r="F21" s="7">
        <f>IFERROR(SUMIF(纳指100!$B$5:$B$1000,A21,纳指100!$L$5:$L$1000),"")</f>
        <v/>
      </c>
      <c r="G21" s="7">
        <f>IFERROR(IF(M21="增量阶段",H21,SUMPRODUCT(MAX(C21,0),1)+SUMPRODUCT(MAX(D21,0),1)+SUMPRODUCT(MAX(E21,0),1)+SUMPRODUCT(MAX(F21,0),1)),"")</f>
        <v/>
      </c>
      <c r="H21" s="17" t="n"/>
      <c r="I21" s="7">
        <f>IFERROR(MAX(-C21,0)+MAX(-D21,0)+MAX(-E21,0)+MAX(-F21,0),"")</f>
        <v/>
      </c>
      <c r="J21" s="7">
        <f>IFERROR(IF(M21="增量阶段",MAX(C21,0)+MAX(D21,0)+MAX(E21,0)+MAX(F21,0),0),"")</f>
        <v/>
      </c>
      <c r="K21" s="13">
        <f>IFERROR(K20+H21+I21-J21,"")</f>
        <v/>
      </c>
      <c r="L21" s="7">
        <f>IFERROR(L20+C21+D21+E21+F21,"")</f>
        <v/>
      </c>
      <c r="M21" s="5">
        <f>IFERROR(IF(L21&gt;=参数配置!$C$18,"增量阶段","存量阶段"),"")</f>
        <v/>
      </c>
    </row>
    <row r="22">
      <c r="A22" s="15" t="n"/>
      <c r="B22" s="33" t="n"/>
      <c r="C22" s="7">
        <f>IFERROR(SUMIF(沪深300!$B$5:$B$1000,A22,沪深300!$L$5:$L$1000),"")</f>
        <v/>
      </c>
      <c r="D22" s="7">
        <f>IFERROR(SUMIF(中证500!$B$5:$B$1000,A22,中证500!$L$5:$L$1000),"")</f>
        <v/>
      </c>
      <c r="E22" s="7">
        <f>IFERROR(SUMIF(恒生指数!$B$5:$B$1000,A22,恒生指数!$L$5:$L$1000),"")</f>
        <v/>
      </c>
      <c r="F22" s="7">
        <f>IFERROR(SUMIF(纳指100!$B$5:$B$1000,A22,纳指100!$L$5:$L$1000),"")</f>
        <v/>
      </c>
      <c r="G22" s="7">
        <f>IFERROR(IF(M22="增量阶段",H22,SUMPRODUCT(MAX(C22,0),1)+SUMPRODUCT(MAX(D22,0),1)+SUMPRODUCT(MAX(E22,0),1)+SUMPRODUCT(MAX(F22,0),1)),"")</f>
        <v/>
      </c>
      <c r="H22" s="17" t="n"/>
      <c r="I22" s="7">
        <f>IFERROR(MAX(-C22,0)+MAX(-D22,0)+MAX(-E22,0)+MAX(-F22,0),"")</f>
        <v/>
      </c>
      <c r="J22" s="7">
        <f>IFERROR(IF(M22="增量阶段",MAX(C22,0)+MAX(D22,0)+MAX(E22,0)+MAX(F22,0),0),"")</f>
        <v/>
      </c>
      <c r="K22" s="13">
        <f>IFERROR(K21+H22+I22-J22,"")</f>
        <v/>
      </c>
      <c r="L22" s="7">
        <f>IFERROR(L21+C22+D22+E22+F22,"")</f>
        <v/>
      </c>
      <c r="M22" s="5">
        <f>IFERROR(IF(L22&gt;=参数配置!$C$18,"增量阶段","存量阶段"),"")</f>
        <v/>
      </c>
    </row>
    <row r="23">
      <c r="A23" s="15" t="n"/>
      <c r="B23" s="33" t="n"/>
      <c r="C23" s="7">
        <f>IFERROR(SUMIF(沪深300!$B$5:$B$1000,A23,沪深300!$L$5:$L$1000),"")</f>
        <v/>
      </c>
      <c r="D23" s="7">
        <f>IFERROR(SUMIF(中证500!$B$5:$B$1000,A23,中证500!$L$5:$L$1000),"")</f>
        <v/>
      </c>
      <c r="E23" s="7">
        <f>IFERROR(SUMIF(恒生指数!$B$5:$B$1000,A23,恒生指数!$L$5:$L$1000),"")</f>
        <v/>
      </c>
      <c r="F23" s="7">
        <f>IFERROR(SUMIF(纳指100!$B$5:$B$1000,A23,纳指100!$L$5:$L$1000),"")</f>
        <v/>
      </c>
      <c r="G23" s="7">
        <f>IFERROR(IF(M23="增量阶段",H23,SUMPRODUCT(MAX(C23,0),1)+SUMPRODUCT(MAX(D23,0),1)+SUMPRODUCT(MAX(E23,0),1)+SUMPRODUCT(MAX(F23,0),1)),"")</f>
        <v/>
      </c>
      <c r="H23" s="17" t="n"/>
      <c r="I23" s="7">
        <f>IFERROR(MAX(-C23,0)+MAX(-D23,0)+MAX(-E23,0)+MAX(-F23,0),"")</f>
        <v/>
      </c>
      <c r="J23" s="7">
        <f>IFERROR(IF(M23="增量阶段",MAX(C23,0)+MAX(D23,0)+MAX(E23,0)+MAX(F23,0),0),"")</f>
        <v/>
      </c>
      <c r="K23" s="13">
        <f>IFERROR(K22+H23+I23-J23,"")</f>
        <v/>
      </c>
      <c r="L23" s="7">
        <f>IFERROR(L22+C23+D23+E23+F23,"")</f>
        <v/>
      </c>
      <c r="M23" s="5">
        <f>IFERROR(IF(L23&gt;=参数配置!$C$18,"增量阶段","存量阶段"),"")</f>
        <v/>
      </c>
    </row>
    <row r="24">
      <c r="A24" s="15" t="n"/>
      <c r="B24" s="33" t="n"/>
      <c r="C24" s="7">
        <f>IFERROR(SUMIF(沪深300!$B$5:$B$1000,A24,沪深300!$L$5:$L$1000),"")</f>
        <v/>
      </c>
      <c r="D24" s="7">
        <f>IFERROR(SUMIF(中证500!$B$5:$B$1000,A24,中证500!$L$5:$L$1000),"")</f>
        <v/>
      </c>
      <c r="E24" s="7">
        <f>IFERROR(SUMIF(恒生指数!$B$5:$B$1000,A24,恒生指数!$L$5:$L$1000),"")</f>
        <v/>
      </c>
      <c r="F24" s="7">
        <f>IFERROR(SUMIF(纳指100!$B$5:$B$1000,A24,纳指100!$L$5:$L$1000),"")</f>
        <v/>
      </c>
      <c r="G24" s="7">
        <f>IFERROR(IF(M24="增量阶段",H24,SUMPRODUCT(MAX(C24,0),1)+SUMPRODUCT(MAX(D24,0),1)+SUMPRODUCT(MAX(E24,0),1)+SUMPRODUCT(MAX(F24,0),1)),"")</f>
        <v/>
      </c>
      <c r="H24" s="17" t="n"/>
      <c r="I24" s="7">
        <f>IFERROR(MAX(-C24,0)+MAX(-D24,0)+MAX(-E24,0)+MAX(-F24,0),"")</f>
        <v/>
      </c>
      <c r="J24" s="7">
        <f>IFERROR(IF(M24="增量阶段",MAX(C24,0)+MAX(D24,0)+MAX(E24,0)+MAX(F24,0),0),"")</f>
        <v/>
      </c>
      <c r="K24" s="13">
        <f>IFERROR(K23+H24+I24-J24,"")</f>
        <v/>
      </c>
      <c r="L24" s="7">
        <f>IFERROR(L23+C24+D24+E24+F24,"")</f>
        <v/>
      </c>
      <c r="M24" s="5">
        <f>IFERROR(IF(L24&gt;=参数配置!$C$18,"增量阶段","存量阶段"),"")</f>
        <v/>
      </c>
    </row>
    <row r="25">
      <c r="A25" s="15" t="n"/>
      <c r="B25" s="33" t="n"/>
      <c r="C25" s="7">
        <f>IFERROR(SUMIF(沪深300!$B$5:$B$1000,A25,沪深300!$L$5:$L$1000),"")</f>
        <v/>
      </c>
      <c r="D25" s="7">
        <f>IFERROR(SUMIF(中证500!$B$5:$B$1000,A25,中证500!$L$5:$L$1000),"")</f>
        <v/>
      </c>
      <c r="E25" s="7">
        <f>IFERROR(SUMIF(恒生指数!$B$5:$B$1000,A25,恒生指数!$L$5:$L$1000),"")</f>
        <v/>
      </c>
      <c r="F25" s="7">
        <f>IFERROR(SUMIF(纳指100!$B$5:$B$1000,A25,纳指100!$L$5:$L$1000),"")</f>
        <v/>
      </c>
      <c r="G25" s="7">
        <f>IFERROR(IF(M25="增量阶段",H25,SUMPRODUCT(MAX(C25,0),1)+SUMPRODUCT(MAX(D25,0),1)+SUMPRODUCT(MAX(E25,0),1)+SUMPRODUCT(MAX(F25,0),1)),"")</f>
        <v/>
      </c>
      <c r="H25" s="17" t="n"/>
      <c r="I25" s="7">
        <f>IFERROR(MAX(-C25,0)+MAX(-D25,0)+MAX(-E25,0)+MAX(-F25,0),"")</f>
        <v/>
      </c>
      <c r="J25" s="7">
        <f>IFERROR(IF(M25="增量阶段",MAX(C25,0)+MAX(D25,0)+MAX(E25,0)+MAX(F25,0),0),"")</f>
        <v/>
      </c>
      <c r="K25" s="13">
        <f>IFERROR(K24+H25+I25-J25,"")</f>
        <v/>
      </c>
      <c r="L25" s="7">
        <f>IFERROR(L24+C25+D25+E25+F25,"")</f>
        <v/>
      </c>
      <c r="M25" s="5">
        <f>IFERROR(IF(L25&gt;=参数配置!$C$18,"增量阶段","存量阶段"),"")</f>
        <v/>
      </c>
    </row>
    <row r="26">
      <c r="A26" s="15" t="n"/>
      <c r="B26" s="33" t="n"/>
      <c r="C26" s="7">
        <f>IFERROR(SUMIF(沪深300!$B$5:$B$1000,A26,沪深300!$L$5:$L$1000),"")</f>
        <v/>
      </c>
      <c r="D26" s="7">
        <f>IFERROR(SUMIF(中证500!$B$5:$B$1000,A26,中证500!$L$5:$L$1000),"")</f>
        <v/>
      </c>
      <c r="E26" s="7">
        <f>IFERROR(SUMIF(恒生指数!$B$5:$B$1000,A26,恒生指数!$L$5:$L$1000),"")</f>
        <v/>
      </c>
      <c r="F26" s="7">
        <f>IFERROR(SUMIF(纳指100!$B$5:$B$1000,A26,纳指100!$L$5:$L$1000),"")</f>
        <v/>
      </c>
      <c r="G26" s="7">
        <f>IFERROR(IF(M26="增量阶段",H26,SUMPRODUCT(MAX(C26,0),1)+SUMPRODUCT(MAX(D26,0),1)+SUMPRODUCT(MAX(E26,0),1)+SUMPRODUCT(MAX(F26,0),1)),"")</f>
        <v/>
      </c>
      <c r="H26" s="17" t="n"/>
      <c r="I26" s="7">
        <f>IFERROR(MAX(-C26,0)+MAX(-D26,0)+MAX(-E26,0)+MAX(-F26,0),"")</f>
        <v/>
      </c>
      <c r="J26" s="7">
        <f>IFERROR(IF(M26="增量阶段",MAX(C26,0)+MAX(D26,0)+MAX(E26,0)+MAX(F26,0),0),"")</f>
        <v/>
      </c>
      <c r="K26" s="13">
        <f>IFERROR(K25+H26+I26-J26,"")</f>
        <v/>
      </c>
      <c r="L26" s="7">
        <f>IFERROR(L25+C26+D26+E26+F26,"")</f>
        <v/>
      </c>
      <c r="M26" s="5">
        <f>IFERROR(IF(L26&gt;=参数配置!$C$18,"增量阶段","存量阶段"),"")</f>
        <v/>
      </c>
    </row>
    <row r="27">
      <c r="A27" s="15" t="n"/>
      <c r="B27" s="33" t="n"/>
      <c r="C27" s="7">
        <f>IFERROR(SUMIF(沪深300!$B$5:$B$1000,A27,沪深300!$L$5:$L$1000),"")</f>
        <v/>
      </c>
      <c r="D27" s="7">
        <f>IFERROR(SUMIF(中证500!$B$5:$B$1000,A27,中证500!$L$5:$L$1000),"")</f>
        <v/>
      </c>
      <c r="E27" s="7">
        <f>IFERROR(SUMIF(恒生指数!$B$5:$B$1000,A27,恒生指数!$L$5:$L$1000),"")</f>
        <v/>
      </c>
      <c r="F27" s="7">
        <f>IFERROR(SUMIF(纳指100!$B$5:$B$1000,A27,纳指100!$L$5:$L$1000),"")</f>
        <v/>
      </c>
      <c r="G27" s="7">
        <f>IFERROR(IF(M27="增量阶段",H27,SUMPRODUCT(MAX(C27,0),1)+SUMPRODUCT(MAX(D27,0),1)+SUMPRODUCT(MAX(E27,0),1)+SUMPRODUCT(MAX(F27,0),1)),"")</f>
        <v/>
      </c>
      <c r="H27" s="17" t="n"/>
      <c r="I27" s="7">
        <f>IFERROR(MAX(-C27,0)+MAX(-D27,0)+MAX(-E27,0)+MAX(-F27,0),"")</f>
        <v/>
      </c>
      <c r="J27" s="7">
        <f>IFERROR(IF(M27="增量阶段",MAX(C27,0)+MAX(D27,0)+MAX(E27,0)+MAX(F27,0),0),"")</f>
        <v/>
      </c>
      <c r="K27" s="13">
        <f>IFERROR(K26+H27+I27-J27,"")</f>
        <v/>
      </c>
      <c r="L27" s="7">
        <f>IFERROR(L26+C27+D27+E27+F27,"")</f>
        <v/>
      </c>
      <c r="M27" s="5">
        <f>IFERROR(IF(L27&gt;=参数配置!$C$18,"增量阶段","存量阶段"),"")</f>
        <v/>
      </c>
    </row>
    <row r="28">
      <c r="A28" s="15" t="n"/>
      <c r="B28" s="33" t="n"/>
      <c r="C28" s="7">
        <f>IFERROR(SUMIF(沪深300!$B$5:$B$1000,A28,沪深300!$L$5:$L$1000),"")</f>
        <v/>
      </c>
      <c r="D28" s="7">
        <f>IFERROR(SUMIF(中证500!$B$5:$B$1000,A28,中证500!$L$5:$L$1000),"")</f>
        <v/>
      </c>
      <c r="E28" s="7">
        <f>IFERROR(SUMIF(恒生指数!$B$5:$B$1000,A28,恒生指数!$L$5:$L$1000),"")</f>
        <v/>
      </c>
      <c r="F28" s="7">
        <f>IFERROR(SUMIF(纳指100!$B$5:$B$1000,A28,纳指100!$L$5:$L$1000),"")</f>
        <v/>
      </c>
      <c r="G28" s="7">
        <f>IFERROR(IF(M28="增量阶段",H28,SUMPRODUCT(MAX(C28,0),1)+SUMPRODUCT(MAX(D28,0),1)+SUMPRODUCT(MAX(E28,0),1)+SUMPRODUCT(MAX(F28,0),1)),"")</f>
        <v/>
      </c>
      <c r="H28" s="17" t="n"/>
      <c r="I28" s="7">
        <f>IFERROR(MAX(-C28,0)+MAX(-D28,0)+MAX(-E28,0)+MAX(-F28,0),"")</f>
        <v/>
      </c>
      <c r="J28" s="7">
        <f>IFERROR(IF(M28="增量阶段",MAX(C28,0)+MAX(D28,0)+MAX(E28,0)+MAX(F28,0),0),"")</f>
        <v/>
      </c>
      <c r="K28" s="13">
        <f>IFERROR(K27+H28+I28-J28,"")</f>
        <v/>
      </c>
      <c r="L28" s="7">
        <f>IFERROR(L27+C28+D28+E28+F28,"")</f>
        <v/>
      </c>
      <c r="M28" s="5">
        <f>IFERROR(IF(L28&gt;=参数配置!$C$18,"增量阶段","存量阶段"),"")</f>
        <v/>
      </c>
    </row>
    <row r="29">
      <c r="A29" s="15" t="n"/>
      <c r="B29" s="33" t="n"/>
      <c r="C29" s="7">
        <f>IFERROR(SUMIF(沪深300!$B$5:$B$1000,A29,沪深300!$L$5:$L$1000),"")</f>
        <v/>
      </c>
      <c r="D29" s="7">
        <f>IFERROR(SUMIF(中证500!$B$5:$B$1000,A29,中证500!$L$5:$L$1000),"")</f>
        <v/>
      </c>
      <c r="E29" s="7">
        <f>IFERROR(SUMIF(恒生指数!$B$5:$B$1000,A29,恒生指数!$L$5:$L$1000),"")</f>
        <v/>
      </c>
      <c r="F29" s="7">
        <f>IFERROR(SUMIF(纳指100!$B$5:$B$1000,A29,纳指100!$L$5:$L$1000),"")</f>
        <v/>
      </c>
      <c r="G29" s="7">
        <f>IFERROR(IF(M29="增量阶段",H29,SUMPRODUCT(MAX(C29,0),1)+SUMPRODUCT(MAX(D29,0),1)+SUMPRODUCT(MAX(E29,0),1)+SUMPRODUCT(MAX(F29,0),1)),"")</f>
        <v/>
      </c>
      <c r="H29" s="17" t="n"/>
      <c r="I29" s="7">
        <f>IFERROR(MAX(-C29,0)+MAX(-D29,0)+MAX(-E29,0)+MAX(-F29,0),"")</f>
        <v/>
      </c>
      <c r="J29" s="7">
        <f>IFERROR(IF(M29="增量阶段",MAX(C29,0)+MAX(D29,0)+MAX(E29,0)+MAX(F29,0),0),"")</f>
        <v/>
      </c>
      <c r="K29" s="13">
        <f>IFERROR(K28+H29+I29-J29,"")</f>
        <v/>
      </c>
      <c r="L29" s="7">
        <f>IFERROR(L28+C29+D29+E29+F29,"")</f>
        <v/>
      </c>
      <c r="M29" s="5">
        <f>IFERROR(IF(L29&gt;=参数配置!$C$18,"增量阶段","存量阶段"),"")</f>
        <v/>
      </c>
    </row>
    <row r="30">
      <c r="A30" s="15" t="n"/>
      <c r="B30" s="33" t="n"/>
      <c r="C30" s="7">
        <f>IFERROR(SUMIF(沪深300!$B$5:$B$1000,A30,沪深300!$L$5:$L$1000),"")</f>
        <v/>
      </c>
      <c r="D30" s="7">
        <f>IFERROR(SUMIF(中证500!$B$5:$B$1000,A30,中证500!$L$5:$L$1000),"")</f>
        <v/>
      </c>
      <c r="E30" s="7">
        <f>IFERROR(SUMIF(恒生指数!$B$5:$B$1000,A30,恒生指数!$L$5:$L$1000),"")</f>
        <v/>
      </c>
      <c r="F30" s="7">
        <f>IFERROR(SUMIF(纳指100!$B$5:$B$1000,A30,纳指100!$L$5:$L$1000),"")</f>
        <v/>
      </c>
      <c r="G30" s="7">
        <f>IFERROR(IF(M30="增量阶段",H30,SUMPRODUCT(MAX(C30,0),1)+SUMPRODUCT(MAX(D30,0),1)+SUMPRODUCT(MAX(E30,0),1)+SUMPRODUCT(MAX(F30,0),1)),"")</f>
        <v/>
      </c>
      <c r="H30" s="17" t="n"/>
      <c r="I30" s="7">
        <f>IFERROR(MAX(-C30,0)+MAX(-D30,0)+MAX(-E30,0)+MAX(-F30,0),"")</f>
        <v/>
      </c>
      <c r="J30" s="7">
        <f>IFERROR(IF(M30="增量阶段",MAX(C30,0)+MAX(D30,0)+MAX(E30,0)+MAX(F30,0),0),"")</f>
        <v/>
      </c>
      <c r="K30" s="13">
        <f>IFERROR(K29+H30+I30-J30,"")</f>
        <v/>
      </c>
      <c r="L30" s="7">
        <f>IFERROR(L29+C30+D30+E30+F30,"")</f>
        <v/>
      </c>
      <c r="M30" s="5">
        <f>IFERROR(IF(L30&gt;=参数配置!$C$18,"增量阶段","存量阶段"),"")</f>
        <v/>
      </c>
    </row>
    <row r="31">
      <c r="A31" s="15" t="n"/>
      <c r="B31" s="33" t="n"/>
      <c r="C31" s="7">
        <f>IFERROR(SUMIF(沪深300!$B$5:$B$1000,A31,沪深300!$L$5:$L$1000),"")</f>
        <v/>
      </c>
      <c r="D31" s="7">
        <f>IFERROR(SUMIF(中证500!$B$5:$B$1000,A31,中证500!$L$5:$L$1000),"")</f>
        <v/>
      </c>
      <c r="E31" s="7">
        <f>IFERROR(SUMIF(恒生指数!$B$5:$B$1000,A31,恒生指数!$L$5:$L$1000),"")</f>
        <v/>
      </c>
      <c r="F31" s="7">
        <f>IFERROR(SUMIF(纳指100!$B$5:$B$1000,A31,纳指100!$L$5:$L$1000),"")</f>
        <v/>
      </c>
      <c r="G31" s="7">
        <f>IFERROR(IF(M31="增量阶段",H31,SUMPRODUCT(MAX(C31,0),1)+SUMPRODUCT(MAX(D31,0),1)+SUMPRODUCT(MAX(E31,0),1)+SUMPRODUCT(MAX(F31,0),1)),"")</f>
        <v/>
      </c>
      <c r="H31" s="17" t="n"/>
      <c r="I31" s="7">
        <f>IFERROR(MAX(-C31,0)+MAX(-D31,0)+MAX(-E31,0)+MAX(-F31,0),"")</f>
        <v/>
      </c>
      <c r="J31" s="7">
        <f>IFERROR(IF(M31="增量阶段",MAX(C31,0)+MAX(D31,0)+MAX(E31,0)+MAX(F31,0),0),"")</f>
        <v/>
      </c>
      <c r="K31" s="13">
        <f>IFERROR(K30+H31+I31-J31,"")</f>
        <v/>
      </c>
      <c r="L31" s="7">
        <f>IFERROR(L30+C31+D31+E31+F31,"")</f>
        <v/>
      </c>
      <c r="M31" s="5">
        <f>IFERROR(IF(L31&gt;=参数配置!$C$18,"增量阶段","存量阶段"),"")</f>
        <v/>
      </c>
    </row>
    <row r="32">
      <c r="A32" s="15" t="n"/>
      <c r="B32" s="33" t="n"/>
      <c r="C32" s="7">
        <f>IFERROR(SUMIF(沪深300!$B$5:$B$1000,A32,沪深300!$L$5:$L$1000),"")</f>
        <v/>
      </c>
      <c r="D32" s="7">
        <f>IFERROR(SUMIF(中证500!$B$5:$B$1000,A32,中证500!$L$5:$L$1000),"")</f>
        <v/>
      </c>
      <c r="E32" s="7">
        <f>IFERROR(SUMIF(恒生指数!$B$5:$B$1000,A32,恒生指数!$L$5:$L$1000),"")</f>
        <v/>
      </c>
      <c r="F32" s="7">
        <f>IFERROR(SUMIF(纳指100!$B$5:$B$1000,A32,纳指100!$L$5:$L$1000),"")</f>
        <v/>
      </c>
      <c r="G32" s="7">
        <f>IFERROR(IF(M32="增量阶段",H32,SUMPRODUCT(MAX(C32,0),1)+SUMPRODUCT(MAX(D32,0),1)+SUMPRODUCT(MAX(E32,0),1)+SUMPRODUCT(MAX(F32,0),1)),"")</f>
        <v/>
      </c>
      <c r="H32" s="17" t="n"/>
      <c r="I32" s="7">
        <f>IFERROR(MAX(-C32,0)+MAX(-D32,0)+MAX(-E32,0)+MAX(-F32,0),"")</f>
        <v/>
      </c>
      <c r="J32" s="7">
        <f>IFERROR(IF(M32="增量阶段",MAX(C32,0)+MAX(D32,0)+MAX(E32,0)+MAX(F32,0),0),"")</f>
        <v/>
      </c>
      <c r="K32" s="13">
        <f>IFERROR(K31+H32+I32-J32,"")</f>
        <v/>
      </c>
      <c r="L32" s="7">
        <f>IFERROR(L31+C32+D32+E32+F32,"")</f>
        <v/>
      </c>
      <c r="M32" s="5">
        <f>IFERROR(IF(L32&gt;=参数配置!$C$18,"增量阶段","存量阶段"),"")</f>
        <v/>
      </c>
    </row>
    <row r="33">
      <c r="A33" s="15" t="n"/>
      <c r="B33" s="33" t="n"/>
      <c r="C33" s="7">
        <f>IFERROR(SUMIF(沪深300!$B$5:$B$1000,A33,沪深300!$L$5:$L$1000),"")</f>
        <v/>
      </c>
      <c r="D33" s="7">
        <f>IFERROR(SUMIF(中证500!$B$5:$B$1000,A33,中证500!$L$5:$L$1000),"")</f>
        <v/>
      </c>
      <c r="E33" s="7">
        <f>IFERROR(SUMIF(恒生指数!$B$5:$B$1000,A33,恒生指数!$L$5:$L$1000),"")</f>
        <v/>
      </c>
      <c r="F33" s="7">
        <f>IFERROR(SUMIF(纳指100!$B$5:$B$1000,A33,纳指100!$L$5:$L$1000),"")</f>
        <v/>
      </c>
      <c r="G33" s="7">
        <f>IFERROR(IF(M33="增量阶段",H33,SUMPRODUCT(MAX(C33,0),1)+SUMPRODUCT(MAX(D33,0),1)+SUMPRODUCT(MAX(E33,0),1)+SUMPRODUCT(MAX(F33,0),1)),"")</f>
        <v/>
      </c>
      <c r="H33" s="17" t="n"/>
      <c r="I33" s="7">
        <f>IFERROR(MAX(-C33,0)+MAX(-D33,0)+MAX(-E33,0)+MAX(-F33,0),"")</f>
        <v/>
      </c>
      <c r="J33" s="7">
        <f>IFERROR(IF(M33="增量阶段",MAX(C33,0)+MAX(D33,0)+MAX(E33,0)+MAX(F33,0),0),"")</f>
        <v/>
      </c>
      <c r="K33" s="13">
        <f>IFERROR(K32+H33+I33-J33,"")</f>
        <v/>
      </c>
      <c r="L33" s="7">
        <f>IFERROR(L32+C33+D33+E33+F33,"")</f>
        <v/>
      </c>
      <c r="M33" s="5">
        <f>IFERROR(IF(L33&gt;=参数配置!$C$18,"增量阶段","存量阶段"),"")</f>
        <v/>
      </c>
    </row>
    <row r="34">
      <c r="A34" s="15" t="n"/>
      <c r="B34" s="33" t="n"/>
      <c r="C34" s="7">
        <f>IFERROR(SUMIF(沪深300!$B$5:$B$1000,A34,沪深300!$L$5:$L$1000),"")</f>
        <v/>
      </c>
      <c r="D34" s="7">
        <f>IFERROR(SUMIF(中证500!$B$5:$B$1000,A34,中证500!$L$5:$L$1000),"")</f>
        <v/>
      </c>
      <c r="E34" s="7">
        <f>IFERROR(SUMIF(恒生指数!$B$5:$B$1000,A34,恒生指数!$L$5:$L$1000),"")</f>
        <v/>
      </c>
      <c r="F34" s="7">
        <f>IFERROR(SUMIF(纳指100!$B$5:$B$1000,A34,纳指100!$L$5:$L$1000),"")</f>
        <v/>
      </c>
      <c r="G34" s="7">
        <f>IFERROR(IF(M34="增量阶段",H34,SUMPRODUCT(MAX(C34,0),1)+SUMPRODUCT(MAX(D34,0),1)+SUMPRODUCT(MAX(E34,0),1)+SUMPRODUCT(MAX(F34,0),1)),"")</f>
        <v/>
      </c>
      <c r="H34" s="17" t="n"/>
      <c r="I34" s="7">
        <f>IFERROR(MAX(-C34,0)+MAX(-D34,0)+MAX(-E34,0)+MAX(-F34,0),"")</f>
        <v/>
      </c>
      <c r="J34" s="7">
        <f>IFERROR(IF(M34="增量阶段",MAX(C34,0)+MAX(D34,0)+MAX(E34,0)+MAX(F34,0),0),"")</f>
        <v/>
      </c>
      <c r="K34" s="13">
        <f>IFERROR(K33+H34+I34-J34,"")</f>
        <v/>
      </c>
      <c r="L34" s="7">
        <f>IFERROR(L33+C34+D34+E34+F34,"")</f>
        <v/>
      </c>
      <c r="M34" s="5">
        <f>IFERROR(IF(L34&gt;=参数配置!$C$18,"增量阶段","存量阶段"),"")</f>
        <v/>
      </c>
    </row>
    <row r="35">
      <c r="A35" s="15" t="n"/>
      <c r="B35" s="33" t="n"/>
      <c r="C35" s="7">
        <f>IFERROR(SUMIF(沪深300!$B$5:$B$1000,A35,沪深300!$L$5:$L$1000),"")</f>
        <v/>
      </c>
      <c r="D35" s="7">
        <f>IFERROR(SUMIF(中证500!$B$5:$B$1000,A35,中证500!$L$5:$L$1000),"")</f>
        <v/>
      </c>
      <c r="E35" s="7">
        <f>IFERROR(SUMIF(恒生指数!$B$5:$B$1000,A35,恒生指数!$L$5:$L$1000),"")</f>
        <v/>
      </c>
      <c r="F35" s="7">
        <f>IFERROR(SUMIF(纳指100!$B$5:$B$1000,A35,纳指100!$L$5:$L$1000),"")</f>
        <v/>
      </c>
      <c r="G35" s="7">
        <f>IFERROR(IF(M35="增量阶段",H35,SUMPRODUCT(MAX(C35,0),1)+SUMPRODUCT(MAX(D35,0),1)+SUMPRODUCT(MAX(E35,0),1)+SUMPRODUCT(MAX(F35,0),1)),"")</f>
        <v/>
      </c>
      <c r="H35" s="17" t="n"/>
      <c r="I35" s="7">
        <f>IFERROR(MAX(-C35,0)+MAX(-D35,0)+MAX(-E35,0)+MAX(-F35,0),"")</f>
        <v/>
      </c>
      <c r="J35" s="7">
        <f>IFERROR(IF(M35="增量阶段",MAX(C35,0)+MAX(D35,0)+MAX(E35,0)+MAX(F35,0),0),"")</f>
        <v/>
      </c>
      <c r="K35" s="13">
        <f>IFERROR(K34+H35+I35-J35,"")</f>
        <v/>
      </c>
      <c r="L35" s="7">
        <f>IFERROR(L34+C35+D35+E35+F35,"")</f>
        <v/>
      </c>
      <c r="M35" s="5">
        <f>IFERROR(IF(L35&gt;=参数配置!$C$18,"增量阶段","存量阶段"),"")</f>
        <v/>
      </c>
    </row>
    <row r="36">
      <c r="A36" s="15" t="n"/>
      <c r="B36" s="33" t="n"/>
      <c r="C36" s="7">
        <f>IFERROR(SUMIF(沪深300!$B$5:$B$1000,A36,沪深300!$L$5:$L$1000),"")</f>
        <v/>
      </c>
      <c r="D36" s="7">
        <f>IFERROR(SUMIF(中证500!$B$5:$B$1000,A36,中证500!$L$5:$L$1000),"")</f>
        <v/>
      </c>
      <c r="E36" s="7">
        <f>IFERROR(SUMIF(恒生指数!$B$5:$B$1000,A36,恒生指数!$L$5:$L$1000),"")</f>
        <v/>
      </c>
      <c r="F36" s="7">
        <f>IFERROR(SUMIF(纳指100!$B$5:$B$1000,A36,纳指100!$L$5:$L$1000),"")</f>
        <v/>
      </c>
      <c r="G36" s="7">
        <f>IFERROR(IF(M36="增量阶段",H36,SUMPRODUCT(MAX(C36,0),1)+SUMPRODUCT(MAX(D36,0),1)+SUMPRODUCT(MAX(E36,0),1)+SUMPRODUCT(MAX(F36,0),1)),"")</f>
        <v/>
      </c>
      <c r="H36" s="17" t="n"/>
      <c r="I36" s="7">
        <f>IFERROR(MAX(-C36,0)+MAX(-D36,0)+MAX(-E36,0)+MAX(-F36,0),"")</f>
        <v/>
      </c>
      <c r="J36" s="7">
        <f>IFERROR(IF(M36="增量阶段",MAX(C36,0)+MAX(D36,0)+MAX(E36,0)+MAX(F36,0),0),"")</f>
        <v/>
      </c>
      <c r="K36" s="13">
        <f>IFERROR(K35+H36+I36-J36,"")</f>
        <v/>
      </c>
      <c r="L36" s="7">
        <f>IFERROR(L35+C36+D36+E36+F36,"")</f>
        <v/>
      </c>
      <c r="M36" s="5">
        <f>IFERROR(IF(L36&gt;=参数配置!$C$18,"增量阶段","存量阶段"),"")</f>
        <v/>
      </c>
    </row>
    <row r="37">
      <c r="A37" s="15" t="n"/>
      <c r="B37" s="33" t="n"/>
      <c r="C37" s="7">
        <f>IFERROR(SUMIF(沪深300!$B$5:$B$1000,A37,沪深300!$L$5:$L$1000),"")</f>
        <v/>
      </c>
      <c r="D37" s="7">
        <f>IFERROR(SUMIF(中证500!$B$5:$B$1000,A37,中证500!$L$5:$L$1000),"")</f>
        <v/>
      </c>
      <c r="E37" s="7">
        <f>IFERROR(SUMIF(恒生指数!$B$5:$B$1000,A37,恒生指数!$L$5:$L$1000),"")</f>
        <v/>
      </c>
      <c r="F37" s="7">
        <f>IFERROR(SUMIF(纳指100!$B$5:$B$1000,A37,纳指100!$L$5:$L$1000),"")</f>
        <v/>
      </c>
      <c r="G37" s="7">
        <f>IFERROR(IF(M37="增量阶段",H37,SUMPRODUCT(MAX(C37,0),1)+SUMPRODUCT(MAX(D37,0),1)+SUMPRODUCT(MAX(E37,0),1)+SUMPRODUCT(MAX(F37,0),1)),"")</f>
        <v/>
      </c>
      <c r="H37" s="17" t="n"/>
      <c r="I37" s="7">
        <f>IFERROR(MAX(-C37,0)+MAX(-D37,0)+MAX(-E37,0)+MAX(-F37,0),"")</f>
        <v/>
      </c>
      <c r="J37" s="7">
        <f>IFERROR(IF(M37="增量阶段",MAX(C37,0)+MAX(D37,0)+MAX(E37,0)+MAX(F37,0),0),"")</f>
        <v/>
      </c>
      <c r="K37" s="13">
        <f>IFERROR(K36+H37+I37-J37,"")</f>
        <v/>
      </c>
      <c r="L37" s="7">
        <f>IFERROR(L36+C37+D37+E37+F37,"")</f>
        <v/>
      </c>
      <c r="M37" s="5">
        <f>IFERROR(IF(L37&gt;=参数配置!$C$18,"增量阶段","存量阶段"),"")</f>
        <v/>
      </c>
    </row>
    <row r="38">
      <c r="A38" s="15" t="n"/>
      <c r="B38" s="33" t="n"/>
      <c r="C38" s="7">
        <f>IFERROR(SUMIF(沪深300!$B$5:$B$1000,A38,沪深300!$L$5:$L$1000),"")</f>
        <v/>
      </c>
      <c r="D38" s="7">
        <f>IFERROR(SUMIF(中证500!$B$5:$B$1000,A38,中证500!$L$5:$L$1000),"")</f>
        <v/>
      </c>
      <c r="E38" s="7">
        <f>IFERROR(SUMIF(恒生指数!$B$5:$B$1000,A38,恒生指数!$L$5:$L$1000),"")</f>
        <v/>
      </c>
      <c r="F38" s="7">
        <f>IFERROR(SUMIF(纳指100!$B$5:$B$1000,A38,纳指100!$L$5:$L$1000),"")</f>
        <v/>
      </c>
      <c r="G38" s="7">
        <f>IFERROR(IF(M38="增量阶段",H38,SUMPRODUCT(MAX(C38,0),1)+SUMPRODUCT(MAX(D38,0),1)+SUMPRODUCT(MAX(E38,0),1)+SUMPRODUCT(MAX(F38,0),1)),"")</f>
        <v/>
      </c>
      <c r="H38" s="17" t="n"/>
      <c r="I38" s="7">
        <f>IFERROR(MAX(-C38,0)+MAX(-D38,0)+MAX(-E38,0)+MAX(-F38,0),"")</f>
        <v/>
      </c>
      <c r="J38" s="7">
        <f>IFERROR(IF(M38="增量阶段",MAX(C38,0)+MAX(D38,0)+MAX(E38,0)+MAX(F38,0),0),"")</f>
        <v/>
      </c>
      <c r="K38" s="13">
        <f>IFERROR(K37+H38+I38-J38,"")</f>
        <v/>
      </c>
      <c r="L38" s="7">
        <f>IFERROR(L37+C38+D38+E38+F38,"")</f>
        <v/>
      </c>
      <c r="M38" s="5">
        <f>IFERROR(IF(L38&gt;=参数配置!$C$18,"增量阶段","存量阶段"),"")</f>
        <v/>
      </c>
    </row>
    <row r="39">
      <c r="A39" s="15" t="n"/>
      <c r="B39" s="33" t="n"/>
      <c r="C39" s="7">
        <f>IFERROR(SUMIF(沪深300!$B$5:$B$1000,A39,沪深300!$L$5:$L$1000),"")</f>
        <v/>
      </c>
      <c r="D39" s="7">
        <f>IFERROR(SUMIF(中证500!$B$5:$B$1000,A39,中证500!$L$5:$L$1000),"")</f>
        <v/>
      </c>
      <c r="E39" s="7">
        <f>IFERROR(SUMIF(恒生指数!$B$5:$B$1000,A39,恒生指数!$L$5:$L$1000),"")</f>
        <v/>
      </c>
      <c r="F39" s="7">
        <f>IFERROR(SUMIF(纳指100!$B$5:$B$1000,A39,纳指100!$L$5:$L$1000),"")</f>
        <v/>
      </c>
      <c r="G39" s="7">
        <f>IFERROR(IF(M39="增量阶段",H39,SUMPRODUCT(MAX(C39,0),1)+SUMPRODUCT(MAX(D39,0),1)+SUMPRODUCT(MAX(E39,0),1)+SUMPRODUCT(MAX(F39,0),1)),"")</f>
        <v/>
      </c>
      <c r="H39" s="17" t="n"/>
      <c r="I39" s="7">
        <f>IFERROR(MAX(-C39,0)+MAX(-D39,0)+MAX(-E39,0)+MAX(-F39,0),"")</f>
        <v/>
      </c>
      <c r="J39" s="7">
        <f>IFERROR(IF(M39="增量阶段",MAX(C39,0)+MAX(D39,0)+MAX(E39,0)+MAX(F39,0),0),"")</f>
        <v/>
      </c>
      <c r="K39" s="13">
        <f>IFERROR(K38+H39+I39-J39,"")</f>
        <v/>
      </c>
      <c r="L39" s="7">
        <f>IFERROR(L38+C39+D39+E39+F39,"")</f>
        <v/>
      </c>
      <c r="M39" s="5">
        <f>IFERROR(IF(L39&gt;=参数配置!$C$18,"增量阶段","存量阶段"),"")</f>
        <v/>
      </c>
    </row>
    <row r="40">
      <c r="A40" s="15" t="n"/>
      <c r="B40" s="33" t="n"/>
      <c r="C40" s="7">
        <f>IFERROR(SUMIF(沪深300!$B$5:$B$1000,A40,沪深300!$L$5:$L$1000),"")</f>
        <v/>
      </c>
      <c r="D40" s="7">
        <f>IFERROR(SUMIF(中证500!$B$5:$B$1000,A40,中证500!$L$5:$L$1000),"")</f>
        <v/>
      </c>
      <c r="E40" s="7">
        <f>IFERROR(SUMIF(恒生指数!$B$5:$B$1000,A40,恒生指数!$L$5:$L$1000),"")</f>
        <v/>
      </c>
      <c r="F40" s="7">
        <f>IFERROR(SUMIF(纳指100!$B$5:$B$1000,A40,纳指100!$L$5:$L$1000),"")</f>
        <v/>
      </c>
      <c r="G40" s="7">
        <f>IFERROR(IF(M40="增量阶段",H40,SUMPRODUCT(MAX(C40,0),1)+SUMPRODUCT(MAX(D40,0),1)+SUMPRODUCT(MAX(E40,0),1)+SUMPRODUCT(MAX(F40,0),1)),"")</f>
        <v/>
      </c>
      <c r="H40" s="17" t="n"/>
      <c r="I40" s="7">
        <f>IFERROR(MAX(-C40,0)+MAX(-D40,0)+MAX(-E40,0)+MAX(-F40,0),"")</f>
        <v/>
      </c>
      <c r="J40" s="7">
        <f>IFERROR(IF(M40="增量阶段",MAX(C40,0)+MAX(D40,0)+MAX(E40,0)+MAX(F40,0),0),"")</f>
        <v/>
      </c>
      <c r="K40" s="13">
        <f>IFERROR(K39+H40+I40-J40,"")</f>
        <v/>
      </c>
      <c r="L40" s="7">
        <f>IFERROR(L39+C40+D40+E40+F40,"")</f>
        <v/>
      </c>
      <c r="M40" s="5">
        <f>IFERROR(IF(L40&gt;=参数配置!$C$18,"增量阶段","存量阶段"),"")</f>
        <v/>
      </c>
    </row>
    <row r="41">
      <c r="A41" s="15" t="n"/>
      <c r="B41" s="33" t="n"/>
      <c r="C41" s="7">
        <f>IFERROR(SUMIF(沪深300!$B$5:$B$1000,A41,沪深300!$L$5:$L$1000),"")</f>
        <v/>
      </c>
      <c r="D41" s="7">
        <f>IFERROR(SUMIF(中证500!$B$5:$B$1000,A41,中证500!$L$5:$L$1000),"")</f>
        <v/>
      </c>
      <c r="E41" s="7">
        <f>IFERROR(SUMIF(恒生指数!$B$5:$B$1000,A41,恒生指数!$L$5:$L$1000),"")</f>
        <v/>
      </c>
      <c r="F41" s="7">
        <f>IFERROR(SUMIF(纳指100!$B$5:$B$1000,A41,纳指100!$L$5:$L$1000),"")</f>
        <v/>
      </c>
      <c r="G41" s="7">
        <f>IFERROR(IF(M41="增量阶段",H41,SUMPRODUCT(MAX(C41,0),1)+SUMPRODUCT(MAX(D41,0),1)+SUMPRODUCT(MAX(E41,0),1)+SUMPRODUCT(MAX(F41,0),1)),"")</f>
        <v/>
      </c>
      <c r="H41" s="17" t="n"/>
      <c r="I41" s="7">
        <f>IFERROR(MAX(-C41,0)+MAX(-D41,0)+MAX(-E41,0)+MAX(-F41,0),"")</f>
        <v/>
      </c>
      <c r="J41" s="7">
        <f>IFERROR(IF(M41="增量阶段",MAX(C41,0)+MAX(D41,0)+MAX(E41,0)+MAX(F41,0),0),"")</f>
        <v/>
      </c>
      <c r="K41" s="13">
        <f>IFERROR(K40+H41+I41-J41,"")</f>
        <v/>
      </c>
      <c r="L41" s="7">
        <f>IFERROR(L40+C41+D41+E41+F41,"")</f>
        <v/>
      </c>
      <c r="M41" s="5">
        <f>IFERROR(IF(L41&gt;=参数配置!$C$18,"增量阶段","存量阶段"),"")</f>
        <v/>
      </c>
    </row>
    <row r="42">
      <c r="A42" s="15" t="n"/>
      <c r="B42" s="33" t="n"/>
      <c r="C42" s="7">
        <f>IFERROR(SUMIF(沪深300!$B$5:$B$1000,A42,沪深300!$L$5:$L$1000),"")</f>
        <v/>
      </c>
      <c r="D42" s="7">
        <f>IFERROR(SUMIF(中证500!$B$5:$B$1000,A42,中证500!$L$5:$L$1000),"")</f>
        <v/>
      </c>
      <c r="E42" s="7">
        <f>IFERROR(SUMIF(恒生指数!$B$5:$B$1000,A42,恒生指数!$L$5:$L$1000),"")</f>
        <v/>
      </c>
      <c r="F42" s="7">
        <f>IFERROR(SUMIF(纳指100!$B$5:$B$1000,A42,纳指100!$L$5:$L$1000),"")</f>
        <v/>
      </c>
      <c r="G42" s="7">
        <f>IFERROR(IF(M42="增量阶段",H42,SUMPRODUCT(MAX(C42,0),1)+SUMPRODUCT(MAX(D42,0),1)+SUMPRODUCT(MAX(E42,0),1)+SUMPRODUCT(MAX(F42,0),1)),"")</f>
        <v/>
      </c>
      <c r="H42" s="17" t="n"/>
      <c r="I42" s="7">
        <f>IFERROR(MAX(-C42,0)+MAX(-D42,0)+MAX(-E42,0)+MAX(-F42,0),"")</f>
        <v/>
      </c>
      <c r="J42" s="7">
        <f>IFERROR(IF(M42="增量阶段",MAX(C42,0)+MAX(D42,0)+MAX(E42,0)+MAX(F42,0),0),"")</f>
        <v/>
      </c>
      <c r="K42" s="13">
        <f>IFERROR(K41+H42+I42-J42,"")</f>
        <v/>
      </c>
      <c r="L42" s="7">
        <f>IFERROR(L41+C42+D42+E42+F42,"")</f>
        <v/>
      </c>
      <c r="M42" s="5">
        <f>IFERROR(IF(L42&gt;=参数配置!$C$18,"增量阶段","存量阶段"),"")</f>
        <v/>
      </c>
    </row>
    <row r="43">
      <c r="A43" s="15" t="n"/>
      <c r="B43" s="33" t="n"/>
      <c r="C43" s="7">
        <f>IFERROR(SUMIF(沪深300!$B$5:$B$1000,A43,沪深300!$L$5:$L$1000),"")</f>
        <v/>
      </c>
      <c r="D43" s="7">
        <f>IFERROR(SUMIF(中证500!$B$5:$B$1000,A43,中证500!$L$5:$L$1000),"")</f>
        <v/>
      </c>
      <c r="E43" s="7">
        <f>IFERROR(SUMIF(恒生指数!$B$5:$B$1000,A43,恒生指数!$L$5:$L$1000),"")</f>
        <v/>
      </c>
      <c r="F43" s="7">
        <f>IFERROR(SUMIF(纳指100!$B$5:$B$1000,A43,纳指100!$L$5:$L$1000),"")</f>
        <v/>
      </c>
      <c r="G43" s="7">
        <f>IFERROR(IF(M43="增量阶段",H43,SUMPRODUCT(MAX(C43,0),1)+SUMPRODUCT(MAX(D43,0),1)+SUMPRODUCT(MAX(E43,0),1)+SUMPRODUCT(MAX(F43,0),1)),"")</f>
        <v/>
      </c>
      <c r="H43" s="17" t="n"/>
      <c r="I43" s="7">
        <f>IFERROR(MAX(-C43,0)+MAX(-D43,0)+MAX(-E43,0)+MAX(-F43,0),"")</f>
        <v/>
      </c>
      <c r="J43" s="7">
        <f>IFERROR(IF(M43="增量阶段",MAX(C43,0)+MAX(D43,0)+MAX(E43,0)+MAX(F43,0),0),"")</f>
        <v/>
      </c>
      <c r="K43" s="13">
        <f>IFERROR(K42+H43+I43-J43,"")</f>
        <v/>
      </c>
      <c r="L43" s="7">
        <f>IFERROR(L42+C43+D43+E43+F43,"")</f>
        <v/>
      </c>
      <c r="M43" s="5">
        <f>IFERROR(IF(L43&gt;=参数配置!$C$18,"增量阶段","存量阶段"),"")</f>
        <v/>
      </c>
    </row>
    <row r="44">
      <c r="A44" s="15" t="n"/>
      <c r="B44" s="33" t="n"/>
      <c r="C44" s="7">
        <f>IFERROR(SUMIF(沪深300!$B$5:$B$1000,A44,沪深300!$L$5:$L$1000),"")</f>
        <v/>
      </c>
      <c r="D44" s="7">
        <f>IFERROR(SUMIF(中证500!$B$5:$B$1000,A44,中证500!$L$5:$L$1000),"")</f>
        <v/>
      </c>
      <c r="E44" s="7">
        <f>IFERROR(SUMIF(恒生指数!$B$5:$B$1000,A44,恒生指数!$L$5:$L$1000),"")</f>
        <v/>
      </c>
      <c r="F44" s="7">
        <f>IFERROR(SUMIF(纳指100!$B$5:$B$1000,A44,纳指100!$L$5:$L$1000),"")</f>
        <v/>
      </c>
      <c r="G44" s="7">
        <f>IFERROR(IF(M44="增量阶段",H44,SUMPRODUCT(MAX(C44,0),1)+SUMPRODUCT(MAX(D44,0),1)+SUMPRODUCT(MAX(E44,0),1)+SUMPRODUCT(MAX(F44,0),1)),"")</f>
        <v/>
      </c>
      <c r="H44" s="17" t="n"/>
      <c r="I44" s="7">
        <f>IFERROR(MAX(-C44,0)+MAX(-D44,0)+MAX(-E44,0)+MAX(-F44,0),"")</f>
        <v/>
      </c>
      <c r="J44" s="7">
        <f>IFERROR(IF(M44="增量阶段",MAX(C44,0)+MAX(D44,0)+MAX(E44,0)+MAX(F44,0),0),"")</f>
        <v/>
      </c>
      <c r="K44" s="13">
        <f>IFERROR(K43+H44+I44-J44,"")</f>
        <v/>
      </c>
      <c r="L44" s="7">
        <f>IFERROR(L43+C44+D44+E44+F44,"")</f>
        <v/>
      </c>
      <c r="M44" s="5">
        <f>IFERROR(IF(L44&gt;=参数配置!$C$18,"增量阶段","存量阶段"),"")</f>
        <v/>
      </c>
    </row>
    <row r="45">
      <c r="A45" s="15" t="n"/>
      <c r="B45" s="33" t="n"/>
      <c r="C45" s="7">
        <f>IFERROR(SUMIF(沪深300!$B$5:$B$1000,A45,沪深300!$L$5:$L$1000),"")</f>
        <v/>
      </c>
      <c r="D45" s="7">
        <f>IFERROR(SUMIF(中证500!$B$5:$B$1000,A45,中证500!$L$5:$L$1000),"")</f>
        <v/>
      </c>
      <c r="E45" s="7">
        <f>IFERROR(SUMIF(恒生指数!$B$5:$B$1000,A45,恒生指数!$L$5:$L$1000),"")</f>
        <v/>
      </c>
      <c r="F45" s="7">
        <f>IFERROR(SUMIF(纳指100!$B$5:$B$1000,A45,纳指100!$L$5:$L$1000),"")</f>
        <v/>
      </c>
      <c r="G45" s="7">
        <f>IFERROR(IF(M45="增量阶段",H45,SUMPRODUCT(MAX(C45,0),1)+SUMPRODUCT(MAX(D45,0),1)+SUMPRODUCT(MAX(E45,0),1)+SUMPRODUCT(MAX(F45,0),1)),"")</f>
        <v/>
      </c>
      <c r="H45" s="17" t="n"/>
      <c r="I45" s="7">
        <f>IFERROR(MAX(-C45,0)+MAX(-D45,0)+MAX(-E45,0)+MAX(-F45,0),"")</f>
        <v/>
      </c>
      <c r="J45" s="7">
        <f>IFERROR(IF(M45="增量阶段",MAX(C45,0)+MAX(D45,0)+MAX(E45,0)+MAX(F45,0),0),"")</f>
        <v/>
      </c>
      <c r="K45" s="13">
        <f>IFERROR(K44+H45+I45-J45,"")</f>
        <v/>
      </c>
      <c r="L45" s="7">
        <f>IFERROR(L44+C45+D45+E45+F45,"")</f>
        <v/>
      </c>
      <c r="M45" s="5">
        <f>IFERROR(IF(L45&gt;=参数配置!$C$18,"增量阶段","存量阶段"),"")</f>
        <v/>
      </c>
    </row>
    <row r="46">
      <c r="A46" s="15" t="n"/>
      <c r="B46" s="33" t="n"/>
      <c r="C46" s="7">
        <f>IFERROR(SUMIF(沪深300!$B$5:$B$1000,A46,沪深300!$L$5:$L$1000),"")</f>
        <v/>
      </c>
      <c r="D46" s="7">
        <f>IFERROR(SUMIF(中证500!$B$5:$B$1000,A46,中证500!$L$5:$L$1000),"")</f>
        <v/>
      </c>
      <c r="E46" s="7">
        <f>IFERROR(SUMIF(恒生指数!$B$5:$B$1000,A46,恒生指数!$L$5:$L$1000),"")</f>
        <v/>
      </c>
      <c r="F46" s="7">
        <f>IFERROR(SUMIF(纳指100!$B$5:$B$1000,A46,纳指100!$L$5:$L$1000),"")</f>
        <v/>
      </c>
      <c r="G46" s="7">
        <f>IFERROR(IF(M46="增量阶段",H46,SUMPRODUCT(MAX(C46,0),1)+SUMPRODUCT(MAX(D46,0),1)+SUMPRODUCT(MAX(E46,0),1)+SUMPRODUCT(MAX(F46,0),1)),"")</f>
        <v/>
      </c>
      <c r="H46" s="17" t="n"/>
      <c r="I46" s="7">
        <f>IFERROR(MAX(-C46,0)+MAX(-D46,0)+MAX(-E46,0)+MAX(-F46,0),"")</f>
        <v/>
      </c>
      <c r="J46" s="7">
        <f>IFERROR(IF(M46="增量阶段",MAX(C46,0)+MAX(D46,0)+MAX(E46,0)+MAX(F46,0),0),"")</f>
        <v/>
      </c>
      <c r="K46" s="13">
        <f>IFERROR(K45+H46+I46-J46,"")</f>
        <v/>
      </c>
      <c r="L46" s="7">
        <f>IFERROR(L45+C46+D46+E46+F46,"")</f>
        <v/>
      </c>
      <c r="M46" s="5">
        <f>IFERROR(IF(L46&gt;=参数配置!$C$18,"增量阶段","存量阶段"),"")</f>
        <v/>
      </c>
    </row>
    <row r="47">
      <c r="A47" s="15" t="n"/>
      <c r="B47" s="33" t="n"/>
      <c r="C47" s="7">
        <f>IFERROR(SUMIF(沪深300!$B$5:$B$1000,A47,沪深300!$L$5:$L$1000),"")</f>
        <v/>
      </c>
      <c r="D47" s="7">
        <f>IFERROR(SUMIF(中证500!$B$5:$B$1000,A47,中证500!$L$5:$L$1000),"")</f>
        <v/>
      </c>
      <c r="E47" s="7">
        <f>IFERROR(SUMIF(恒生指数!$B$5:$B$1000,A47,恒生指数!$L$5:$L$1000),"")</f>
        <v/>
      </c>
      <c r="F47" s="7">
        <f>IFERROR(SUMIF(纳指100!$B$5:$B$1000,A47,纳指100!$L$5:$L$1000),"")</f>
        <v/>
      </c>
      <c r="G47" s="7">
        <f>IFERROR(IF(M47="增量阶段",H47,SUMPRODUCT(MAX(C47,0),1)+SUMPRODUCT(MAX(D47,0),1)+SUMPRODUCT(MAX(E47,0),1)+SUMPRODUCT(MAX(F47,0),1)),"")</f>
        <v/>
      </c>
      <c r="H47" s="17" t="n"/>
      <c r="I47" s="7">
        <f>IFERROR(MAX(-C47,0)+MAX(-D47,0)+MAX(-E47,0)+MAX(-F47,0),"")</f>
        <v/>
      </c>
      <c r="J47" s="7">
        <f>IFERROR(IF(M47="增量阶段",MAX(C47,0)+MAX(D47,0)+MAX(E47,0)+MAX(F47,0),0),"")</f>
        <v/>
      </c>
      <c r="K47" s="13">
        <f>IFERROR(K46+H47+I47-J47,"")</f>
        <v/>
      </c>
      <c r="L47" s="7">
        <f>IFERROR(L46+C47+D47+E47+F47,"")</f>
        <v/>
      </c>
      <c r="M47" s="5">
        <f>IFERROR(IF(L47&gt;=参数配置!$C$18,"增量阶段","存量阶段"),"")</f>
        <v/>
      </c>
    </row>
    <row r="48">
      <c r="A48" s="15" t="n"/>
      <c r="B48" s="33" t="n"/>
      <c r="C48" s="7">
        <f>IFERROR(SUMIF(沪深300!$B$5:$B$1000,A48,沪深300!$L$5:$L$1000),"")</f>
        <v/>
      </c>
      <c r="D48" s="7">
        <f>IFERROR(SUMIF(中证500!$B$5:$B$1000,A48,中证500!$L$5:$L$1000),"")</f>
        <v/>
      </c>
      <c r="E48" s="7">
        <f>IFERROR(SUMIF(恒生指数!$B$5:$B$1000,A48,恒生指数!$L$5:$L$1000),"")</f>
        <v/>
      </c>
      <c r="F48" s="7">
        <f>IFERROR(SUMIF(纳指100!$B$5:$B$1000,A48,纳指100!$L$5:$L$1000),"")</f>
        <v/>
      </c>
      <c r="G48" s="7">
        <f>IFERROR(IF(M48="增量阶段",H48,SUMPRODUCT(MAX(C48,0),1)+SUMPRODUCT(MAX(D48,0),1)+SUMPRODUCT(MAX(E48,0),1)+SUMPRODUCT(MAX(F48,0),1)),"")</f>
        <v/>
      </c>
      <c r="H48" s="17" t="n"/>
      <c r="I48" s="7">
        <f>IFERROR(MAX(-C48,0)+MAX(-D48,0)+MAX(-E48,0)+MAX(-F48,0),"")</f>
        <v/>
      </c>
      <c r="J48" s="7">
        <f>IFERROR(IF(M48="增量阶段",MAX(C48,0)+MAX(D48,0)+MAX(E48,0)+MAX(F48,0),0),"")</f>
        <v/>
      </c>
      <c r="K48" s="13">
        <f>IFERROR(K47+H48+I48-J48,"")</f>
        <v/>
      </c>
      <c r="L48" s="7">
        <f>IFERROR(L47+C48+D48+E48+F48,"")</f>
        <v/>
      </c>
      <c r="M48" s="5">
        <f>IFERROR(IF(L48&gt;=参数配置!$C$18,"增量阶段","存量阶段"),"")</f>
        <v/>
      </c>
    </row>
    <row r="49">
      <c r="A49" s="15" t="n"/>
      <c r="B49" s="33" t="n"/>
      <c r="C49" s="7">
        <f>IFERROR(SUMIF(沪深300!$B$5:$B$1000,A49,沪深300!$L$5:$L$1000),"")</f>
        <v/>
      </c>
      <c r="D49" s="7">
        <f>IFERROR(SUMIF(中证500!$B$5:$B$1000,A49,中证500!$L$5:$L$1000),"")</f>
        <v/>
      </c>
      <c r="E49" s="7">
        <f>IFERROR(SUMIF(恒生指数!$B$5:$B$1000,A49,恒生指数!$L$5:$L$1000),"")</f>
        <v/>
      </c>
      <c r="F49" s="7">
        <f>IFERROR(SUMIF(纳指100!$B$5:$B$1000,A49,纳指100!$L$5:$L$1000),"")</f>
        <v/>
      </c>
      <c r="G49" s="7">
        <f>IFERROR(IF(M49="增量阶段",H49,SUMPRODUCT(MAX(C49,0),1)+SUMPRODUCT(MAX(D49,0),1)+SUMPRODUCT(MAX(E49,0),1)+SUMPRODUCT(MAX(F49,0),1)),"")</f>
        <v/>
      </c>
      <c r="H49" s="17" t="n"/>
      <c r="I49" s="7">
        <f>IFERROR(MAX(-C49,0)+MAX(-D49,0)+MAX(-E49,0)+MAX(-F49,0),"")</f>
        <v/>
      </c>
      <c r="J49" s="7">
        <f>IFERROR(IF(M49="增量阶段",MAX(C49,0)+MAX(D49,0)+MAX(E49,0)+MAX(F49,0),0),"")</f>
        <v/>
      </c>
      <c r="K49" s="13">
        <f>IFERROR(K48+H49+I49-J49,"")</f>
        <v/>
      </c>
      <c r="L49" s="7">
        <f>IFERROR(L48+C49+D49+E49+F49,"")</f>
        <v/>
      </c>
      <c r="M49" s="5">
        <f>IFERROR(IF(L49&gt;=参数配置!$C$18,"增量阶段","存量阶段"),"")</f>
        <v/>
      </c>
    </row>
    <row r="50">
      <c r="A50" s="15" t="n"/>
      <c r="B50" s="33" t="n"/>
      <c r="C50" s="7">
        <f>IFERROR(SUMIF(沪深300!$B$5:$B$1000,A50,沪深300!$L$5:$L$1000),"")</f>
        <v/>
      </c>
      <c r="D50" s="7">
        <f>IFERROR(SUMIF(中证500!$B$5:$B$1000,A50,中证500!$L$5:$L$1000),"")</f>
        <v/>
      </c>
      <c r="E50" s="7">
        <f>IFERROR(SUMIF(恒生指数!$B$5:$B$1000,A50,恒生指数!$L$5:$L$1000),"")</f>
        <v/>
      </c>
      <c r="F50" s="7">
        <f>IFERROR(SUMIF(纳指100!$B$5:$B$1000,A50,纳指100!$L$5:$L$1000),"")</f>
        <v/>
      </c>
      <c r="G50" s="7">
        <f>IFERROR(IF(M50="增量阶段",H50,SUMPRODUCT(MAX(C50,0),1)+SUMPRODUCT(MAX(D50,0),1)+SUMPRODUCT(MAX(E50,0),1)+SUMPRODUCT(MAX(F50,0),1)),"")</f>
        <v/>
      </c>
      <c r="H50" s="17" t="n"/>
      <c r="I50" s="7">
        <f>IFERROR(MAX(-C50,0)+MAX(-D50,0)+MAX(-E50,0)+MAX(-F50,0),"")</f>
        <v/>
      </c>
      <c r="J50" s="7">
        <f>IFERROR(IF(M50="增量阶段",MAX(C50,0)+MAX(D50,0)+MAX(E50,0)+MAX(F50,0),0),"")</f>
        <v/>
      </c>
      <c r="K50" s="13">
        <f>IFERROR(K49+H50+I50-J50,"")</f>
        <v/>
      </c>
      <c r="L50" s="7">
        <f>IFERROR(L49+C50+D50+E50+F50,"")</f>
        <v/>
      </c>
      <c r="M50" s="5">
        <f>IFERROR(IF(L50&gt;=参数配置!$C$18,"增量阶段","存量阶段"),"")</f>
        <v/>
      </c>
    </row>
    <row r="51">
      <c r="A51" s="15" t="n"/>
      <c r="B51" s="33" t="n"/>
      <c r="C51" s="7">
        <f>IFERROR(SUMIF(沪深300!$B$5:$B$1000,A51,沪深300!$L$5:$L$1000),"")</f>
        <v/>
      </c>
      <c r="D51" s="7">
        <f>IFERROR(SUMIF(中证500!$B$5:$B$1000,A51,中证500!$L$5:$L$1000),"")</f>
        <v/>
      </c>
      <c r="E51" s="7">
        <f>IFERROR(SUMIF(恒生指数!$B$5:$B$1000,A51,恒生指数!$L$5:$L$1000),"")</f>
        <v/>
      </c>
      <c r="F51" s="7">
        <f>IFERROR(SUMIF(纳指100!$B$5:$B$1000,A51,纳指100!$L$5:$L$1000),"")</f>
        <v/>
      </c>
      <c r="G51" s="7">
        <f>IFERROR(IF(M51="增量阶段",H51,SUMPRODUCT(MAX(C51,0),1)+SUMPRODUCT(MAX(D51,0),1)+SUMPRODUCT(MAX(E51,0),1)+SUMPRODUCT(MAX(F51,0),1)),"")</f>
        <v/>
      </c>
      <c r="H51" s="17" t="n"/>
      <c r="I51" s="7">
        <f>IFERROR(MAX(-C51,0)+MAX(-D51,0)+MAX(-E51,0)+MAX(-F51,0),"")</f>
        <v/>
      </c>
      <c r="J51" s="7">
        <f>IFERROR(IF(M51="增量阶段",MAX(C51,0)+MAX(D51,0)+MAX(E51,0)+MAX(F51,0),0),"")</f>
        <v/>
      </c>
      <c r="K51" s="13">
        <f>IFERROR(K50+H51+I51-J51,"")</f>
        <v/>
      </c>
      <c r="L51" s="7">
        <f>IFERROR(L50+C51+D51+E51+F51,"")</f>
        <v/>
      </c>
      <c r="M51" s="5">
        <f>IFERROR(IF(L51&gt;=参数配置!$C$18,"增量阶段","存量阶段"),"")</f>
        <v/>
      </c>
    </row>
    <row r="52">
      <c r="A52" s="15" t="n"/>
      <c r="B52" s="33" t="n"/>
      <c r="C52" s="7">
        <f>IFERROR(SUMIF(沪深300!$B$5:$B$1000,A52,沪深300!$L$5:$L$1000),"")</f>
        <v/>
      </c>
      <c r="D52" s="7">
        <f>IFERROR(SUMIF(中证500!$B$5:$B$1000,A52,中证500!$L$5:$L$1000),"")</f>
        <v/>
      </c>
      <c r="E52" s="7">
        <f>IFERROR(SUMIF(恒生指数!$B$5:$B$1000,A52,恒生指数!$L$5:$L$1000),"")</f>
        <v/>
      </c>
      <c r="F52" s="7">
        <f>IFERROR(SUMIF(纳指100!$B$5:$B$1000,A52,纳指100!$L$5:$L$1000),"")</f>
        <v/>
      </c>
      <c r="G52" s="7">
        <f>IFERROR(IF(M52="增量阶段",H52,SUMPRODUCT(MAX(C52,0),1)+SUMPRODUCT(MAX(D52,0),1)+SUMPRODUCT(MAX(E52,0),1)+SUMPRODUCT(MAX(F52,0),1)),"")</f>
        <v/>
      </c>
      <c r="H52" s="17" t="n"/>
      <c r="I52" s="7">
        <f>IFERROR(MAX(-C52,0)+MAX(-D52,0)+MAX(-E52,0)+MAX(-F52,0),"")</f>
        <v/>
      </c>
      <c r="J52" s="7">
        <f>IFERROR(IF(M52="增量阶段",MAX(C52,0)+MAX(D52,0)+MAX(E52,0)+MAX(F52,0),0),"")</f>
        <v/>
      </c>
      <c r="K52" s="13">
        <f>IFERROR(K51+H52+I52-J52,"")</f>
        <v/>
      </c>
      <c r="L52" s="7">
        <f>IFERROR(L51+C52+D52+E52+F52,"")</f>
        <v/>
      </c>
      <c r="M52" s="5">
        <f>IFERROR(IF(L52&gt;=参数配置!$C$18,"增量阶段","存量阶段"),"")</f>
        <v/>
      </c>
    </row>
    <row r="53">
      <c r="A53" s="15" t="n"/>
      <c r="B53" s="33" t="n"/>
      <c r="C53" s="7">
        <f>IFERROR(SUMIF(沪深300!$B$5:$B$1000,A53,沪深300!$L$5:$L$1000),"")</f>
        <v/>
      </c>
      <c r="D53" s="7">
        <f>IFERROR(SUMIF(中证500!$B$5:$B$1000,A53,中证500!$L$5:$L$1000),"")</f>
        <v/>
      </c>
      <c r="E53" s="7">
        <f>IFERROR(SUMIF(恒生指数!$B$5:$B$1000,A53,恒生指数!$L$5:$L$1000),"")</f>
        <v/>
      </c>
      <c r="F53" s="7">
        <f>IFERROR(SUMIF(纳指100!$B$5:$B$1000,A53,纳指100!$L$5:$L$1000),"")</f>
        <v/>
      </c>
      <c r="G53" s="7">
        <f>IFERROR(IF(M53="增量阶段",H53,SUMPRODUCT(MAX(C53,0),1)+SUMPRODUCT(MAX(D53,0),1)+SUMPRODUCT(MAX(E53,0),1)+SUMPRODUCT(MAX(F53,0),1)),"")</f>
        <v/>
      </c>
      <c r="H53" s="17" t="n"/>
      <c r="I53" s="7">
        <f>IFERROR(MAX(-C53,0)+MAX(-D53,0)+MAX(-E53,0)+MAX(-F53,0),"")</f>
        <v/>
      </c>
      <c r="J53" s="7">
        <f>IFERROR(IF(M53="增量阶段",MAX(C53,0)+MAX(D53,0)+MAX(E53,0)+MAX(F53,0),0),"")</f>
        <v/>
      </c>
      <c r="K53" s="13">
        <f>IFERROR(K52+H53+I53-J53,"")</f>
        <v/>
      </c>
      <c r="L53" s="7">
        <f>IFERROR(L52+C53+D53+E53+F53,"")</f>
        <v/>
      </c>
      <c r="M53" s="5">
        <f>IFERROR(IF(L53&gt;=参数配置!$C$18,"增量阶段","存量阶段"),"")</f>
        <v/>
      </c>
    </row>
    <row r="54">
      <c r="A54" s="15" t="n"/>
      <c r="B54" s="33" t="n"/>
      <c r="C54" s="7">
        <f>IFERROR(SUMIF(沪深300!$B$5:$B$1000,A54,沪深300!$L$5:$L$1000),"")</f>
        <v/>
      </c>
      <c r="D54" s="7">
        <f>IFERROR(SUMIF(中证500!$B$5:$B$1000,A54,中证500!$L$5:$L$1000),"")</f>
        <v/>
      </c>
      <c r="E54" s="7">
        <f>IFERROR(SUMIF(恒生指数!$B$5:$B$1000,A54,恒生指数!$L$5:$L$1000),"")</f>
        <v/>
      </c>
      <c r="F54" s="7">
        <f>IFERROR(SUMIF(纳指100!$B$5:$B$1000,A54,纳指100!$L$5:$L$1000),"")</f>
        <v/>
      </c>
      <c r="G54" s="7">
        <f>IFERROR(IF(M54="增量阶段",H54,SUMPRODUCT(MAX(C54,0),1)+SUMPRODUCT(MAX(D54,0),1)+SUMPRODUCT(MAX(E54,0),1)+SUMPRODUCT(MAX(F54,0),1)),"")</f>
        <v/>
      </c>
      <c r="H54" s="17" t="n"/>
      <c r="I54" s="7">
        <f>IFERROR(MAX(-C54,0)+MAX(-D54,0)+MAX(-E54,0)+MAX(-F54,0),"")</f>
        <v/>
      </c>
      <c r="J54" s="7">
        <f>IFERROR(IF(M54="增量阶段",MAX(C54,0)+MAX(D54,0)+MAX(E54,0)+MAX(F54,0),0),"")</f>
        <v/>
      </c>
      <c r="K54" s="13">
        <f>IFERROR(K53+H54+I54-J54,"")</f>
        <v/>
      </c>
      <c r="L54" s="7">
        <f>IFERROR(L53+C54+D54+E54+F54,"")</f>
        <v/>
      </c>
      <c r="M54" s="5">
        <f>IFERROR(IF(L54&gt;=参数配置!$C$18,"增量阶段","存量阶段"),"")</f>
        <v/>
      </c>
    </row>
    <row r="55">
      <c r="A55" s="15" t="n"/>
      <c r="B55" s="33" t="n"/>
      <c r="C55" s="7">
        <f>IFERROR(SUMIF(沪深300!$B$5:$B$1000,A55,沪深300!$L$5:$L$1000),"")</f>
        <v/>
      </c>
      <c r="D55" s="7">
        <f>IFERROR(SUMIF(中证500!$B$5:$B$1000,A55,中证500!$L$5:$L$1000),"")</f>
        <v/>
      </c>
      <c r="E55" s="7">
        <f>IFERROR(SUMIF(恒生指数!$B$5:$B$1000,A55,恒生指数!$L$5:$L$1000),"")</f>
        <v/>
      </c>
      <c r="F55" s="7">
        <f>IFERROR(SUMIF(纳指100!$B$5:$B$1000,A55,纳指100!$L$5:$L$1000),"")</f>
        <v/>
      </c>
      <c r="G55" s="7">
        <f>IFERROR(IF(M55="增量阶段",H55,SUMPRODUCT(MAX(C55,0),1)+SUMPRODUCT(MAX(D55,0),1)+SUMPRODUCT(MAX(E55,0),1)+SUMPRODUCT(MAX(F55,0),1)),"")</f>
        <v/>
      </c>
      <c r="H55" s="17" t="n"/>
      <c r="I55" s="7">
        <f>IFERROR(MAX(-C55,0)+MAX(-D55,0)+MAX(-E55,0)+MAX(-F55,0),"")</f>
        <v/>
      </c>
      <c r="J55" s="7">
        <f>IFERROR(IF(M55="增量阶段",MAX(C55,0)+MAX(D55,0)+MAX(E55,0)+MAX(F55,0),0),"")</f>
        <v/>
      </c>
      <c r="K55" s="13">
        <f>IFERROR(K54+H55+I55-J55,"")</f>
        <v/>
      </c>
      <c r="L55" s="7">
        <f>IFERROR(L54+C55+D55+E55+F55,"")</f>
        <v/>
      </c>
      <c r="M55" s="5">
        <f>IFERROR(IF(L55&gt;=参数配置!$C$18,"增量阶段","存量阶段"),"")</f>
        <v/>
      </c>
    </row>
    <row r="56">
      <c r="A56" s="15" t="n"/>
      <c r="B56" s="33" t="n"/>
      <c r="C56" s="7">
        <f>IFERROR(SUMIF(沪深300!$B$5:$B$1000,A56,沪深300!$L$5:$L$1000),"")</f>
        <v/>
      </c>
      <c r="D56" s="7">
        <f>IFERROR(SUMIF(中证500!$B$5:$B$1000,A56,中证500!$L$5:$L$1000),"")</f>
        <v/>
      </c>
      <c r="E56" s="7">
        <f>IFERROR(SUMIF(恒生指数!$B$5:$B$1000,A56,恒生指数!$L$5:$L$1000),"")</f>
        <v/>
      </c>
      <c r="F56" s="7">
        <f>IFERROR(SUMIF(纳指100!$B$5:$B$1000,A56,纳指100!$L$5:$L$1000),"")</f>
        <v/>
      </c>
      <c r="G56" s="7">
        <f>IFERROR(IF(M56="增量阶段",H56,SUMPRODUCT(MAX(C56,0),1)+SUMPRODUCT(MAX(D56,0),1)+SUMPRODUCT(MAX(E56,0),1)+SUMPRODUCT(MAX(F56,0),1)),"")</f>
        <v/>
      </c>
      <c r="H56" s="17" t="n"/>
      <c r="I56" s="7">
        <f>IFERROR(MAX(-C56,0)+MAX(-D56,0)+MAX(-E56,0)+MAX(-F56,0),"")</f>
        <v/>
      </c>
      <c r="J56" s="7">
        <f>IFERROR(IF(M56="增量阶段",MAX(C56,0)+MAX(D56,0)+MAX(E56,0)+MAX(F56,0),0),"")</f>
        <v/>
      </c>
      <c r="K56" s="13">
        <f>IFERROR(K55+H56+I56-J56,"")</f>
        <v/>
      </c>
      <c r="L56" s="7">
        <f>IFERROR(L55+C56+D56+E56+F56,"")</f>
        <v/>
      </c>
      <c r="M56" s="5">
        <f>IFERROR(IF(L56&gt;=参数配置!$C$18,"增量阶段","存量阶段"),"")</f>
        <v/>
      </c>
    </row>
    <row r="57">
      <c r="A57" s="15" t="n"/>
      <c r="B57" s="33" t="n"/>
      <c r="C57" s="7">
        <f>IFERROR(SUMIF(沪深300!$B$5:$B$1000,A57,沪深300!$L$5:$L$1000),"")</f>
        <v/>
      </c>
      <c r="D57" s="7">
        <f>IFERROR(SUMIF(中证500!$B$5:$B$1000,A57,中证500!$L$5:$L$1000),"")</f>
        <v/>
      </c>
      <c r="E57" s="7">
        <f>IFERROR(SUMIF(恒生指数!$B$5:$B$1000,A57,恒生指数!$L$5:$L$1000),"")</f>
        <v/>
      </c>
      <c r="F57" s="7">
        <f>IFERROR(SUMIF(纳指100!$B$5:$B$1000,A57,纳指100!$L$5:$L$1000),"")</f>
        <v/>
      </c>
      <c r="G57" s="7">
        <f>IFERROR(IF(M57="增量阶段",H57,SUMPRODUCT(MAX(C57,0),1)+SUMPRODUCT(MAX(D57,0),1)+SUMPRODUCT(MAX(E57,0),1)+SUMPRODUCT(MAX(F57,0),1)),"")</f>
        <v/>
      </c>
      <c r="H57" s="17" t="n"/>
      <c r="I57" s="7">
        <f>IFERROR(MAX(-C57,0)+MAX(-D57,0)+MAX(-E57,0)+MAX(-F57,0),"")</f>
        <v/>
      </c>
      <c r="J57" s="7">
        <f>IFERROR(IF(M57="增量阶段",MAX(C57,0)+MAX(D57,0)+MAX(E57,0)+MAX(F57,0),0),"")</f>
        <v/>
      </c>
      <c r="K57" s="13">
        <f>IFERROR(K56+H57+I57-J57,"")</f>
        <v/>
      </c>
      <c r="L57" s="7">
        <f>IFERROR(L56+C57+D57+E57+F57,"")</f>
        <v/>
      </c>
      <c r="M57" s="5">
        <f>IFERROR(IF(L57&gt;=参数配置!$C$18,"增量阶段","存量阶段"),"")</f>
        <v/>
      </c>
    </row>
    <row r="58">
      <c r="A58" s="15" t="n"/>
      <c r="B58" s="33" t="n"/>
      <c r="C58" s="7">
        <f>IFERROR(SUMIF(沪深300!$B$5:$B$1000,A58,沪深300!$L$5:$L$1000),"")</f>
        <v/>
      </c>
      <c r="D58" s="7">
        <f>IFERROR(SUMIF(中证500!$B$5:$B$1000,A58,中证500!$L$5:$L$1000),"")</f>
        <v/>
      </c>
      <c r="E58" s="7">
        <f>IFERROR(SUMIF(恒生指数!$B$5:$B$1000,A58,恒生指数!$L$5:$L$1000),"")</f>
        <v/>
      </c>
      <c r="F58" s="7">
        <f>IFERROR(SUMIF(纳指100!$B$5:$B$1000,A58,纳指100!$L$5:$L$1000),"")</f>
        <v/>
      </c>
      <c r="G58" s="7">
        <f>IFERROR(IF(M58="增量阶段",H58,SUMPRODUCT(MAX(C58,0),1)+SUMPRODUCT(MAX(D58,0),1)+SUMPRODUCT(MAX(E58,0),1)+SUMPRODUCT(MAX(F58,0),1)),"")</f>
        <v/>
      </c>
      <c r="H58" s="17" t="n"/>
      <c r="I58" s="7">
        <f>IFERROR(MAX(-C58,0)+MAX(-D58,0)+MAX(-E58,0)+MAX(-F58,0),"")</f>
        <v/>
      </c>
      <c r="J58" s="7">
        <f>IFERROR(IF(M58="增量阶段",MAX(C58,0)+MAX(D58,0)+MAX(E58,0)+MAX(F58,0),0),"")</f>
        <v/>
      </c>
      <c r="K58" s="13">
        <f>IFERROR(K57+H58+I58-J58,"")</f>
        <v/>
      </c>
      <c r="L58" s="7">
        <f>IFERROR(L57+C58+D58+E58+F58,"")</f>
        <v/>
      </c>
      <c r="M58" s="5">
        <f>IFERROR(IF(L58&gt;=参数配置!$C$18,"增量阶段","存量阶段"),"")</f>
        <v/>
      </c>
    </row>
    <row r="59">
      <c r="A59" s="15" t="n"/>
      <c r="B59" s="33" t="n"/>
      <c r="C59" s="7">
        <f>IFERROR(SUMIF(沪深300!$B$5:$B$1000,A59,沪深300!$L$5:$L$1000),"")</f>
        <v/>
      </c>
      <c r="D59" s="7">
        <f>IFERROR(SUMIF(中证500!$B$5:$B$1000,A59,中证500!$L$5:$L$1000),"")</f>
        <v/>
      </c>
      <c r="E59" s="7">
        <f>IFERROR(SUMIF(恒生指数!$B$5:$B$1000,A59,恒生指数!$L$5:$L$1000),"")</f>
        <v/>
      </c>
      <c r="F59" s="7">
        <f>IFERROR(SUMIF(纳指100!$B$5:$B$1000,A59,纳指100!$L$5:$L$1000),"")</f>
        <v/>
      </c>
      <c r="G59" s="7">
        <f>IFERROR(IF(M59="增量阶段",H59,SUMPRODUCT(MAX(C59,0),1)+SUMPRODUCT(MAX(D59,0),1)+SUMPRODUCT(MAX(E59,0),1)+SUMPRODUCT(MAX(F59,0),1)),"")</f>
        <v/>
      </c>
      <c r="H59" s="17" t="n"/>
      <c r="I59" s="7">
        <f>IFERROR(MAX(-C59,0)+MAX(-D59,0)+MAX(-E59,0)+MAX(-F59,0),"")</f>
        <v/>
      </c>
      <c r="J59" s="7">
        <f>IFERROR(IF(M59="增量阶段",MAX(C59,0)+MAX(D59,0)+MAX(E59,0)+MAX(F59,0),0),"")</f>
        <v/>
      </c>
      <c r="K59" s="13">
        <f>IFERROR(K58+H59+I59-J59,"")</f>
        <v/>
      </c>
      <c r="L59" s="7">
        <f>IFERROR(L58+C59+D59+E59+F59,"")</f>
        <v/>
      </c>
      <c r="M59" s="5">
        <f>IFERROR(IF(L59&gt;=参数配置!$C$18,"增量阶段","存量阶段"),"")</f>
        <v/>
      </c>
    </row>
    <row r="60">
      <c r="A60" s="15" t="n"/>
      <c r="B60" s="33" t="n"/>
      <c r="C60" s="7">
        <f>IFERROR(SUMIF(沪深300!$B$5:$B$1000,A60,沪深300!$L$5:$L$1000),"")</f>
        <v/>
      </c>
      <c r="D60" s="7">
        <f>IFERROR(SUMIF(中证500!$B$5:$B$1000,A60,中证500!$L$5:$L$1000),"")</f>
        <v/>
      </c>
      <c r="E60" s="7">
        <f>IFERROR(SUMIF(恒生指数!$B$5:$B$1000,A60,恒生指数!$L$5:$L$1000),"")</f>
        <v/>
      </c>
      <c r="F60" s="7">
        <f>IFERROR(SUMIF(纳指100!$B$5:$B$1000,A60,纳指100!$L$5:$L$1000),"")</f>
        <v/>
      </c>
      <c r="G60" s="7">
        <f>IFERROR(IF(M60="增量阶段",H60,SUMPRODUCT(MAX(C60,0),1)+SUMPRODUCT(MAX(D60,0),1)+SUMPRODUCT(MAX(E60,0),1)+SUMPRODUCT(MAX(F60,0),1)),"")</f>
        <v/>
      </c>
      <c r="H60" s="17" t="n"/>
      <c r="I60" s="7">
        <f>IFERROR(MAX(-C60,0)+MAX(-D60,0)+MAX(-E60,0)+MAX(-F60,0),"")</f>
        <v/>
      </c>
      <c r="J60" s="7">
        <f>IFERROR(IF(M60="增量阶段",MAX(C60,0)+MAX(D60,0)+MAX(E60,0)+MAX(F60,0),0),"")</f>
        <v/>
      </c>
      <c r="K60" s="13">
        <f>IFERROR(K59+H60+I60-J60,"")</f>
        <v/>
      </c>
      <c r="L60" s="7">
        <f>IFERROR(L59+C60+D60+E60+F60,"")</f>
        <v/>
      </c>
      <c r="M60" s="5">
        <f>IFERROR(IF(L60&gt;=参数配置!$C$18,"增量阶段","存量阶段"),"")</f>
        <v/>
      </c>
    </row>
    <row r="61">
      <c r="A61" s="15" t="n"/>
      <c r="B61" s="33" t="n"/>
      <c r="C61" s="7">
        <f>IFERROR(SUMIF(沪深300!$B$5:$B$1000,A61,沪深300!$L$5:$L$1000),"")</f>
        <v/>
      </c>
      <c r="D61" s="7">
        <f>IFERROR(SUMIF(中证500!$B$5:$B$1000,A61,中证500!$L$5:$L$1000),"")</f>
        <v/>
      </c>
      <c r="E61" s="7">
        <f>IFERROR(SUMIF(恒生指数!$B$5:$B$1000,A61,恒生指数!$L$5:$L$1000),"")</f>
        <v/>
      </c>
      <c r="F61" s="7">
        <f>IFERROR(SUMIF(纳指100!$B$5:$B$1000,A61,纳指100!$L$5:$L$1000),"")</f>
        <v/>
      </c>
      <c r="G61" s="7">
        <f>IFERROR(IF(M61="增量阶段",H61,SUMPRODUCT(MAX(C61,0),1)+SUMPRODUCT(MAX(D61,0),1)+SUMPRODUCT(MAX(E61,0),1)+SUMPRODUCT(MAX(F61,0),1)),"")</f>
        <v/>
      </c>
      <c r="H61" s="17" t="n"/>
      <c r="I61" s="7">
        <f>IFERROR(MAX(-C61,0)+MAX(-D61,0)+MAX(-E61,0)+MAX(-F61,0),"")</f>
        <v/>
      </c>
      <c r="J61" s="7">
        <f>IFERROR(IF(M61="增量阶段",MAX(C61,0)+MAX(D61,0)+MAX(E61,0)+MAX(F61,0),0),"")</f>
        <v/>
      </c>
      <c r="K61" s="13">
        <f>IFERROR(K60+H61+I61-J61,"")</f>
        <v/>
      </c>
      <c r="L61" s="7">
        <f>IFERROR(L60+C61+D61+E61+F61,"")</f>
        <v/>
      </c>
      <c r="M61" s="5">
        <f>IFERROR(IF(L61&gt;=参数配置!$C$18,"增量阶段","存量阶段"),"")</f>
        <v/>
      </c>
    </row>
    <row r="62">
      <c r="A62" s="15" t="n"/>
      <c r="B62" s="33" t="n"/>
      <c r="C62" s="7">
        <f>IFERROR(SUMIF(沪深300!$B$5:$B$1000,A62,沪深300!$L$5:$L$1000),"")</f>
        <v/>
      </c>
      <c r="D62" s="7">
        <f>IFERROR(SUMIF(中证500!$B$5:$B$1000,A62,中证500!$L$5:$L$1000),"")</f>
        <v/>
      </c>
      <c r="E62" s="7">
        <f>IFERROR(SUMIF(恒生指数!$B$5:$B$1000,A62,恒生指数!$L$5:$L$1000),"")</f>
        <v/>
      </c>
      <c r="F62" s="7">
        <f>IFERROR(SUMIF(纳指100!$B$5:$B$1000,A62,纳指100!$L$5:$L$1000),"")</f>
        <v/>
      </c>
      <c r="G62" s="7">
        <f>IFERROR(IF(M62="增量阶段",H62,SUMPRODUCT(MAX(C62,0),1)+SUMPRODUCT(MAX(D62,0),1)+SUMPRODUCT(MAX(E62,0),1)+SUMPRODUCT(MAX(F62,0),1)),"")</f>
        <v/>
      </c>
      <c r="H62" s="17" t="n"/>
      <c r="I62" s="7">
        <f>IFERROR(MAX(-C62,0)+MAX(-D62,0)+MAX(-E62,0)+MAX(-F62,0),"")</f>
        <v/>
      </c>
      <c r="J62" s="7">
        <f>IFERROR(IF(M62="增量阶段",MAX(C62,0)+MAX(D62,0)+MAX(E62,0)+MAX(F62,0),0),"")</f>
        <v/>
      </c>
      <c r="K62" s="13">
        <f>IFERROR(K61+H62+I62-J62,"")</f>
        <v/>
      </c>
      <c r="L62" s="7">
        <f>IFERROR(L61+C62+D62+E62+F62,"")</f>
        <v/>
      </c>
      <c r="M62" s="5">
        <f>IFERROR(IF(L62&gt;=参数配置!$C$18,"增量阶段","存量阶段"),"")</f>
        <v/>
      </c>
    </row>
    <row r="63">
      <c r="A63" s="15" t="n"/>
      <c r="B63" s="33" t="n"/>
      <c r="C63" s="7">
        <f>IFERROR(SUMIF(沪深300!$B$5:$B$1000,A63,沪深300!$L$5:$L$1000),"")</f>
        <v/>
      </c>
      <c r="D63" s="7">
        <f>IFERROR(SUMIF(中证500!$B$5:$B$1000,A63,中证500!$L$5:$L$1000),"")</f>
        <v/>
      </c>
      <c r="E63" s="7">
        <f>IFERROR(SUMIF(恒生指数!$B$5:$B$1000,A63,恒生指数!$L$5:$L$1000),"")</f>
        <v/>
      </c>
      <c r="F63" s="7">
        <f>IFERROR(SUMIF(纳指100!$B$5:$B$1000,A63,纳指100!$L$5:$L$1000),"")</f>
        <v/>
      </c>
      <c r="G63" s="7">
        <f>IFERROR(IF(M63="增量阶段",H63,SUMPRODUCT(MAX(C63,0),1)+SUMPRODUCT(MAX(D63,0),1)+SUMPRODUCT(MAX(E63,0),1)+SUMPRODUCT(MAX(F63,0),1)),"")</f>
        <v/>
      </c>
      <c r="H63" s="17" t="n"/>
      <c r="I63" s="7">
        <f>IFERROR(MAX(-C63,0)+MAX(-D63,0)+MAX(-E63,0)+MAX(-F63,0),"")</f>
        <v/>
      </c>
      <c r="J63" s="7">
        <f>IFERROR(IF(M63="增量阶段",MAX(C63,0)+MAX(D63,0)+MAX(E63,0)+MAX(F63,0),0),"")</f>
        <v/>
      </c>
      <c r="K63" s="13">
        <f>IFERROR(K62+H63+I63-J63,"")</f>
        <v/>
      </c>
      <c r="L63" s="7">
        <f>IFERROR(L62+C63+D63+E63+F63,"")</f>
        <v/>
      </c>
      <c r="M63" s="5">
        <f>IFERROR(IF(L63&gt;=参数配置!$C$18,"增量阶段","存量阶段"),"")</f>
        <v/>
      </c>
    </row>
    <row r="64">
      <c r="A64" s="15" t="n"/>
      <c r="B64" s="33" t="n"/>
      <c r="C64" s="7">
        <f>IFERROR(SUMIF(沪深300!$B$5:$B$1000,A64,沪深300!$L$5:$L$1000),"")</f>
        <v/>
      </c>
      <c r="D64" s="7">
        <f>IFERROR(SUMIF(中证500!$B$5:$B$1000,A64,中证500!$L$5:$L$1000),"")</f>
        <v/>
      </c>
      <c r="E64" s="7">
        <f>IFERROR(SUMIF(恒生指数!$B$5:$B$1000,A64,恒生指数!$L$5:$L$1000),"")</f>
        <v/>
      </c>
      <c r="F64" s="7">
        <f>IFERROR(SUMIF(纳指100!$B$5:$B$1000,A64,纳指100!$L$5:$L$1000),"")</f>
        <v/>
      </c>
      <c r="G64" s="7">
        <f>IFERROR(IF(M64="增量阶段",H64,SUMPRODUCT(MAX(C64,0),1)+SUMPRODUCT(MAX(D64,0),1)+SUMPRODUCT(MAX(E64,0),1)+SUMPRODUCT(MAX(F64,0),1)),"")</f>
        <v/>
      </c>
      <c r="H64" s="17" t="n"/>
      <c r="I64" s="7">
        <f>IFERROR(MAX(-C64,0)+MAX(-D64,0)+MAX(-E64,0)+MAX(-F64,0),"")</f>
        <v/>
      </c>
      <c r="J64" s="7">
        <f>IFERROR(IF(M64="增量阶段",MAX(C64,0)+MAX(D64,0)+MAX(E64,0)+MAX(F64,0),0),"")</f>
        <v/>
      </c>
      <c r="K64" s="13">
        <f>IFERROR(K63+H64+I64-J64,"")</f>
        <v/>
      </c>
      <c r="L64" s="7">
        <f>IFERROR(L63+C64+D64+E64+F64,"")</f>
        <v/>
      </c>
      <c r="M64" s="5">
        <f>IFERROR(IF(L64&gt;=参数配置!$C$18,"增量阶段","存量阶段"),"")</f>
        <v/>
      </c>
    </row>
    <row r="65">
      <c r="A65" s="15" t="n"/>
      <c r="B65" s="33" t="n"/>
      <c r="C65" s="7">
        <f>IFERROR(SUMIF(沪深300!$B$5:$B$1000,A65,沪深300!$L$5:$L$1000),"")</f>
        <v/>
      </c>
      <c r="D65" s="7">
        <f>IFERROR(SUMIF(中证500!$B$5:$B$1000,A65,中证500!$L$5:$L$1000),"")</f>
        <v/>
      </c>
      <c r="E65" s="7">
        <f>IFERROR(SUMIF(恒生指数!$B$5:$B$1000,A65,恒生指数!$L$5:$L$1000),"")</f>
        <v/>
      </c>
      <c r="F65" s="7">
        <f>IFERROR(SUMIF(纳指100!$B$5:$B$1000,A65,纳指100!$L$5:$L$1000),"")</f>
        <v/>
      </c>
      <c r="G65" s="7">
        <f>IFERROR(IF(M65="增量阶段",H65,SUMPRODUCT(MAX(C65,0),1)+SUMPRODUCT(MAX(D65,0),1)+SUMPRODUCT(MAX(E65,0),1)+SUMPRODUCT(MAX(F65,0),1)),"")</f>
        <v/>
      </c>
      <c r="H65" s="17" t="n"/>
      <c r="I65" s="7">
        <f>IFERROR(MAX(-C65,0)+MAX(-D65,0)+MAX(-E65,0)+MAX(-F65,0),"")</f>
        <v/>
      </c>
      <c r="J65" s="7">
        <f>IFERROR(IF(M65="增量阶段",MAX(C65,0)+MAX(D65,0)+MAX(E65,0)+MAX(F65,0),0),"")</f>
        <v/>
      </c>
      <c r="K65" s="13">
        <f>IFERROR(K64+H65+I65-J65,"")</f>
        <v/>
      </c>
      <c r="L65" s="7">
        <f>IFERROR(L64+C65+D65+E65+F65,"")</f>
        <v/>
      </c>
      <c r="M65" s="5">
        <f>IFERROR(IF(L65&gt;=参数配置!$C$18,"增量阶段","存量阶段"),"")</f>
        <v/>
      </c>
    </row>
    <row r="66">
      <c r="A66" s="15" t="n"/>
      <c r="B66" s="33" t="n"/>
      <c r="C66" s="7">
        <f>IFERROR(SUMIF(沪深300!$B$5:$B$1000,A66,沪深300!$L$5:$L$1000),"")</f>
        <v/>
      </c>
      <c r="D66" s="7">
        <f>IFERROR(SUMIF(中证500!$B$5:$B$1000,A66,中证500!$L$5:$L$1000),"")</f>
        <v/>
      </c>
      <c r="E66" s="7">
        <f>IFERROR(SUMIF(恒生指数!$B$5:$B$1000,A66,恒生指数!$L$5:$L$1000),"")</f>
        <v/>
      </c>
      <c r="F66" s="7">
        <f>IFERROR(SUMIF(纳指100!$B$5:$B$1000,A66,纳指100!$L$5:$L$1000),"")</f>
        <v/>
      </c>
      <c r="G66" s="7">
        <f>IFERROR(IF(M66="增量阶段",H66,SUMPRODUCT(MAX(C66,0),1)+SUMPRODUCT(MAX(D66,0),1)+SUMPRODUCT(MAX(E66,0),1)+SUMPRODUCT(MAX(F66,0),1)),"")</f>
        <v/>
      </c>
      <c r="H66" s="17" t="n"/>
      <c r="I66" s="7">
        <f>IFERROR(MAX(-C66,0)+MAX(-D66,0)+MAX(-E66,0)+MAX(-F66,0),"")</f>
        <v/>
      </c>
      <c r="J66" s="7">
        <f>IFERROR(IF(M66="增量阶段",MAX(C66,0)+MAX(D66,0)+MAX(E66,0)+MAX(F66,0),0),"")</f>
        <v/>
      </c>
      <c r="K66" s="13">
        <f>IFERROR(K65+H66+I66-J66,"")</f>
        <v/>
      </c>
      <c r="L66" s="7">
        <f>IFERROR(L65+C66+D66+E66+F66,"")</f>
        <v/>
      </c>
      <c r="M66" s="5">
        <f>IFERROR(IF(L66&gt;=参数配置!$C$18,"增量阶段","存量阶段"),"")</f>
        <v/>
      </c>
    </row>
    <row r="67">
      <c r="A67" s="15" t="n"/>
      <c r="B67" s="33" t="n"/>
      <c r="C67" s="7">
        <f>IFERROR(SUMIF(沪深300!$B$5:$B$1000,A67,沪深300!$L$5:$L$1000),"")</f>
        <v/>
      </c>
      <c r="D67" s="7">
        <f>IFERROR(SUMIF(中证500!$B$5:$B$1000,A67,中证500!$L$5:$L$1000),"")</f>
        <v/>
      </c>
      <c r="E67" s="7">
        <f>IFERROR(SUMIF(恒生指数!$B$5:$B$1000,A67,恒生指数!$L$5:$L$1000),"")</f>
        <v/>
      </c>
      <c r="F67" s="7">
        <f>IFERROR(SUMIF(纳指100!$B$5:$B$1000,A67,纳指100!$L$5:$L$1000),"")</f>
        <v/>
      </c>
      <c r="G67" s="7">
        <f>IFERROR(IF(M67="增量阶段",H67,SUMPRODUCT(MAX(C67,0),1)+SUMPRODUCT(MAX(D67,0),1)+SUMPRODUCT(MAX(E67,0),1)+SUMPRODUCT(MAX(F67,0),1)),"")</f>
        <v/>
      </c>
      <c r="H67" s="17" t="n"/>
      <c r="I67" s="7">
        <f>IFERROR(MAX(-C67,0)+MAX(-D67,0)+MAX(-E67,0)+MAX(-F67,0),"")</f>
        <v/>
      </c>
      <c r="J67" s="7">
        <f>IFERROR(IF(M67="增量阶段",MAX(C67,0)+MAX(D67,0)+MAX(E67,0)+MAX(F67,0),0),"")</f>
        <v/>
      </c>
      <c r="K67" s="13">
        <f>IFERROR(K66+H67+I67-J67,"")</f>
        <v/>
      </c>
      <c r="L67" s="7">
        <f>IFERROR(L66+C67+D67+E67+F67,"")</f>
        <v/>
      </c>
      <c r="M67" s="5">
        <f>IFERROR(IF(L67&gt;=参数配置!$C$18,"增量阶段","存量阶段"),"")</f>
        <v/>
      </c>
    </row>
    <row r="68">
      <c r="A68" s="15" t="n"/>
      <c r="B68" s="33" t="n"/>
      <c r="C68" s="7">
        <f>IFERROR(SUMIF(沪深300!$B$5:$B$1000,A68,沪深300!$L$5:$L$1000),"")</f>
        <v/>
      </c>
      <c r="D68" s="7">
        <f>IFERROR(SUMIF(中证500!$B$5:$B$1000,A68,中证500!$L$5:$L$1000),"")</f>
        <v/>
      </c>
      <c r="E68" s="7">
        <f>IFERROR(SUMIF(恒生指数!$B$5:$B$1000,A68,恒生指数!$L$5:$L$1000),"")</f>
        <v/>
      </c>
      <c r="F68" s="7">
        <f>IFERROR(SUMIF(纳指100!$B$5:$B$1000,A68,纳指100!$L$5:$L$1000),"")</f>
        <v/>
      </c>
      <c r="G68" s="7">
        <f>IFERROR(IF(M68="增量阶段",H68,SUMPRODUCT(MAX(C68,0),1)+SUMPRODUCT(MAX(D68,0),1)+SUMPRODUCT(MAX(E68,0),1)+SUMPRODUCT(MAX(F68,0),1)),"")</f>
        <v/>
      </c>
      <c r="H68" s="17" t="n"/>
      <c r="I68" s="7">
        <f>IFERROR(MAX(-C68,0)+MAX(-D68,0)+MAX(-E68,0)+MAX(-F68,0),"")</f>
        <v/>
      </c>
      <c r="J68" s="7">
        <f>IFERROR(IF(M68="增量阶段",MAX(C68,0)+MAX(D68,0)+MAX(E68,0)+MAX(F68,0),0),"")</f>
        <v/>
      </c>
      <c r="K68" s="13">
        <f>IFERROR(K67+H68+I68-J68,"")</f>
        <v/>
      </c>
      <c r="L68" s="7">
        <f>IFERROR(L67+C68+D68+E68+F68,"")</f>
        <v/>
      </c>
      <c r="M68" s="5">
        <f>IFERROR(IF(L68&gt;=参数配置!$C$18,"增量阶段","存量阶段"),"")</f>
        <v/>
      </c>
    </row>
    <row r="69">
      <c r="A69" s="15" t="n"/>
      <c r="B69" s="33" t="n"/>
      <c r="C69" s="7">
        <f>IFERROR(SUMIF(沪深300!$B$5:$B$1000,A69,沪深300!$L$5:$L$1000),"")</f>
        <v/>
      </c>
      <c r="D69" s="7">
        <f>IFERROR(SUMIF(中证500!$B$5:$B$1000,A69,中证500!$L$5:$L$1000),"")</f>
        <v/>
      </c>
      <c r="E69" s="7">
        <f>IFERROR(SUMIF(恒生指数!$B$5:$B$1000,A69,恒生指数!$L$5:$L$1000),"")</f>
        <v/>
      </c>
      <c r="F69" s="7">
        <f>IFERROR(SUMIF(纳指100!$B$5:$B$1000,A69,纳指100!$L$5:$L$1000),"")</f>
        <v/>
      </c>
      <c r="G69" s="7">
        <f>IFERROR(IF(M69="增量阶段",H69,SUMPRODUCT(MAX(C69,0),1)+SUMPRODUCT(MAX(D69,0),1)+SUMPRODUCT(MAX(E69,0),1)+SUMPRODUCT(MAX(F69,0),1)),"")</f>
        <v/>
      </c>
      <c r="H69" s="17" t="n"/>
      <c r="I69" s="7">
        <f>IFERROR(MAX(-C69,0)+MAX(-D69,0)+MAX(-E69,0)+MAX(-F69,0),"")</f>
        <v/>
      </c>
      <c r="J69" s="7">
        <f>IFERROR(IF(M69="增量阶段",MAX(C69,0)+MAX(D69,0)+MAX(E69,0)+MAX(F69,0),0),"")</f>
        <v/>
      </c>
      <c r="K69" s="13">
        <f>IFERROR(K68+H69+I69-J69,"")</f>
        <v/>
      </c>
      <c r="L69" s="7">
        <f>IFERROR(L68+C69+D69+E69+F69,"")</f>
        <v/>
      </c>
      <c r="M69" s="5">
        <f>IFERROR(IF(L69&gt;=参数配置!$C$18,"增量阶段","存量阶段"),"")</f>
        <v/>
      </c>
    </row>
    <row r="70">
      <c r="A70" s="15" t="n"/>
      <c r="B70" s="33" t="n"/>
      <c r="C70" s="7">
        <f>IFERROR(SUMIF(沪深300!$B$5:$B$1000,A70,沪深300!$L$5:$L$1000),"")</f>
        <v/>
      </c>
      <c r="D70" s="7">
        <f>IFERROR(SUMIF(中证500!$B$5:$B$1000,A70,中证500!$L$5:$L$1000),"")</f>
        <v/>
      </c>
      <c r="E70" s="7">
        <f>IFERROR(SUMIF(恒生指数!$B$5:$B$1000,A70,恒生指数!$L$5:$L$1000),"")</f>
        <v/>
      </c>
      <c r="F70" s="7">
        <f>IFERROR(SUMIF(纳指100!$B$5:$B$1000,A70,纳指100!$L$5:$L$1000),"")</f>
        <v/>
      </c>
      <c r="G70" s="7">
        <f>IFERROR(IF(M70="增量阶段",H70,SUMPRODUCT(MAX(C70,0),1)+SUMPRODUCT(MAX(D70,0),1)+SUMPRODUCT(MAX(E70,0),1)+SUMPRODUCT(MAX(F70,0),1)),"")</f>
        <v/>
      </c>
      <c r="H70" s="17" t="n"/>
      <c r="I70" s="7">
        <f>IFERROR(MAX(-C70,0)+MAX(-D70,0)+MAX(-E70,0)+MAX(-F70,0),"")</f>
        <v/>
      </c>
      <c r="J70" s="7">
        <f>IFERROR(IF(M70="增量阶段",MAX(C70,0)+MAX(D70,0)+MAX(E70,0)+MAX(F70,0),0),"")</f>
        <v/>
      </c>
      <c r="K70" s="13">
        <f>IFERROR(K69+H70+I70-J70,"")</f>
        <v/>
      </c>
      <c r="L70" s="7">
        <f>IFERROR(L69+C70+D70+E70+F70,"")</f>
        <v/>
      </c>
      <c r="M70" s="5">
        <f>IFERROR(IF(L70&gt;=参数配置!$C$18,"增量阶段","存量阶段"),"")</f>
        <v/>
      </c>
    </row>
    <row r="71">
      <c r="A71" s="15" t="n"/>
      <c r="B71" s="33" t="n"/>
      <c r="C71" s="7">
        <f>IFERROR(SUMIF(沪深300!$B$5:$B$1000,A71,沪深300!$L$5:$L$1000),"")</f>
        <v/>
      </c>
      <c r="D71" s="7">
        <f>IFERROR(SUMIF(中证500!$B$5:$B$1000,A71,中证500!$L$5:$L$1000),"")</f>
        <v/>
      </c>
      <c r="E71" s="7">
        <f>IFERROR(SUMIF(恒生指数!$B$5:$B$1000,A71,恒生指数!$L$5:$L$1000),"")</f>
        <v/>
      </c>
      <c r="F71" s="7">
        <f>IFERROR(SUMIF(纳指100!$B$5:$B$1000,A71,纳指100!$L$5:$L$1000),"")</f>
        <v/>
      </c>
      <c r="G71" s="7">
        <f>IFERROR(IF(M71="增量阶段",H71,SUMPRODUCT(MAX(C71,0),1)+SUMPRODUCT(MAX(D71,0),1)+SUMPRODUCT(MAX(E71,0),1)+SUMPRODUCT(MAX(F71,0),1)),"")</f>
        <v/>
      </c>
      <c r="H71" s="17" t="n"/>
      <c r="I71" s="7">
        <f>IFERROR(MAX(-C71,0)+MAX(-D71,0)+MAX(-E71,0)+MAX(-F71,0),"")</f>
        <v/>
      </c>
      <c r="J71" s="7">
        <f>IFERROR(IF(M71="增量阶段",MAX(C71,0)+MAX(D71,0)+MAX(E71,0)+MAX(F71,0),0),"")</f>
        <v/>
      </c>
      <c r="K71" s="13">
        <f>IFERROR(K70+H71+I71-J71,"")</f>
        <v/>
      </c>
      <c r="L71" s="7">
        <f>IFERROR(L70+C71+D71+E71+F71,"")</f>
        <v/>
      </c>
      <c r="M71" s="5">
        <f>IFERROR(IF(L71&gt;=参数配置!$C$18,"增量阶段","存量阶段"),"")</f>
        <v/>
      </c>
    </row>
    <row r="72">
      <c r="A72" s="15" t="n"/>
      <c r="B72" s="33" t="n"/>
      <c r="C72" s="7">
        <f>IFERROR(SUMIF(沪深300!$B$5:$B$1000,A72,沪深300!$L$5:$L$1000),"")</f>
        <v/>
      </c>
      <c r="D72" s="7">
        <f>IFERROR(SUMIF(中证500!$B$5:$B$1000,A72,中证500!$L$5:$L$1000),"")</f>
        <v/>
      </c>
      <c r="E72" s="7">
        <f>IFERROR(SUMIF(恒生指数!$B$5:$B$1000,A72,恒生指数!$L$5:$L$1000),"")</f>
        <v/>
      </c>
      <c r="F72" s="7">
        <f>IFERROR(SUMIF(纳指100!$B$5:$B$1000,A72,纳指100!$L$5:$L$1000),"")</f>
        <v/>
      </c>
      <c r="G72" s="7">
        <f>IFERROR(IF(M72="增量阶段",H72,SUMPRODUCT(MAX(C72,0),1)+SUMPRODUCT(MAX(D72,0),1)+SUMPRODUCT(MAX(E72,0),1)+SUMPRODUCT(MAX(F72,0),1)),"")</f>
        <v/>
      </c>
      <c r="H72" s="17" t="n"/>
      <c r="I72" s="7">
        <f>IFERROR(MAX(-C72,0)+MAX(-D72,0)+MAX(-E72,0)+MAX(-F72,0),"")</f>
        <v/>
      </c>
      <c r="J72" s="7">
        <f>IFERROR(IF(M72="增量阶段",MAX(C72,0)+MAX(D72,0)+MAX(E72,0)+MAX(F72,0),0),"")</f>
        <v/>
      </c>
      <c r="K72" s="13">
        <f>IFERROR(K71+H72+I72-J72,"")</f>
        <v/>
      </c>
      <c r="L72" s="7">
        <f>IFERROR(L71+C72+D72+E72+F72,"")</f>
        <v/>
      </c>
      <c r="M72" s="5">
        <f>IFERROR(IF(L72&gt;=参数配置!$C$18,"增量阶段","存量阶段"),"")</f>
        <v/>
      </c>
    </row>
    <row r="73">
      <c r="A73" s="15" t="n"/>
      <c r="B73" s="33" t="n"/>
      <c r="C73" s="7">
        <f>IFERROR(SUMIF(沪深300!$B$5:$B$1000,A73,沪深300!$L$5:$L$1000),"")</f>
        <v/>
      </c>
      <c r="D73" s="7">
        <f>IFERROR(SUMIF(中证500!$B$5:$B$1000,A73,中证500!$L$5:$L$1000),"")</f>
        <v/>
      </c>
      <c r="E73" s="7">
        <f>IFERROR(SUMIF(恒生指数!$B$5:$B$1000,A73,恒生指数!$L$5:$L$1000),"")</f>
        <v/>
      </c>
      <c r="F73" s="7">
        <f>IFERROR(SUMIF(纳指100!$B$5:$B$1000,A73,纳指100!$L$5:$L$1000),"")</f>
        <v/>
      </c>
      <c r="G73" s="7">
        <f>IFERROR(IF(M73="增量阶段",H73,SUMPRODUCT(MAX(C73,0),1)+SUMPRODUCT(MAX(D73,0),1)+SUMPRODUCT(MAX(E73,0),1)+SUMPRODUCT(MAX(F73,0),1)),"")</f>
        <v/>
      </c>
      <c r="H73" s="17" t="n"/>
      <c r="I73" s="7">
        <f>IFERROR(MAX(-C73,0)+MAX(-D73,0)+MAX(-E73,0)+MAX(-F73,0),"")</f>
        <v/>
      </c>
      <c r="J73" s="7">
        <f>IFERROR(IF(M73="增量阶段",MAX(C73,0)+MAX(D73,0)+MAX(E73,0)+MAX(F73,0),0),"")</f>
        <v/>
      </c>
      <c r="K73" s="13">
        <f>IFERROR(K72+H73+I73-J73,"")</f>
        <v/>
      </c>
      <c r="L73" s="7">
        <f>IFERROR(L72+C73+D73+E73+F73,"")</f>
        <v/>
      </c>
      <c r="M73" s="5">
        <f>IFERROR(IF(L73&gt;=参数配置!$C$18,"增量阶段","存量阶段"),"")</f>
        <v/>
      </c>
    </row>
    <row r="74">
      <c r="A74" s="15" t="n"/>
      <c r="B74" s="33" t="n"/>
      <c r="C74" s="7">
        <f>IFERROR(SUMIF(沪深300!$B$5:$B$1000,A74,沪深300!$L$5:$L$1000),"")</f>
        <v/>
      </c>
      <c r="D74" s="7">
        <f>IFERROR(SUMIF(中证500!$B$5:$B$1000,A74,中证500!$L$5:$L$1000),"")</f>
        <v/>
      </c>
      <c r="E74" s="7">
        <f>IFERROR(SUMIF(恒生指数!$B$5:$B$1000,A74,恒生指数!$L$5:$L$1000),"")</f>
        <v/>
      </c>
      <c r="F74" s="7">
        <f>IFERROR(SUMIF(纳指100!$B$5:$B$1000,A74,纳指100!$L$5:$L$1000),"")</f>
        <v/>
      </c>
      <c r="G74" s="7">
        <f>IFERROR(IF(M74="增量阶段",H74,SUMPRODUCT(MAX(C74,0),1)+SUMPRODUCT(MAX(D74,0),1)+SUMPRODUCT(MAX(E74,0),1)+SUMPRODUCT(MAX(F74,0),1)),"")</f>
        <v/>
      </c>
      <c r="H74" s="17" t="n"/>
      <c r="I74" s="7">
        <f>IFERROR(MAX(-C74,0)+MAX(-D74,0)+MAX(-E74,0)+MAX(-F74,0),"")</f>
        <v/>
      </c>
      <c r="J74" s="7">
        <f>IFERROR(IF(M74="增量阶段",MAX(C74,0)+MAX(D74,0)+MAX(E74,0)+MAX(F74,0),0),"")</f>
        <v/>
      </c>
      <c r="K74" s="13">
        <f>IFERROR(K73+H74+I74-J74,"")</f>
        <v/>
      </c>
      <c r="L74" s="7">
        <f>IFERROR(L73+C74+D74+E74+F74,"")</f>
        <v/>
      </c>
      <c r="M74" s="5">
        <f>IFERROR(IF(L74&gt;=参数配置!$C$18,"增量阶段","存量阶段"),"")</f>
        <v/>
      </c>
    </row>
    <row r="75">
      <c r="A75" s="15" t="n"/>
      <c r="B75" s="33" t="n"/>
      <c r="C75" s="7">
        <f>IFERROR(SUMIF(沪深300!$B$5:$B$1000,A75,沪深300!$L$5:$L$1000),"")</f>
        <v/>
      </c>
      <c r="D75" s="7">
        <f>IFERROR(SUMIF(中证500!$B$5:$B$1000,A75,中证500!$L$5:$L$1000),"")</f>
        <v/>
      </c>
      <c r="E75" s="7">
        <f>IFERROR(SUMIF(恒生指数!$B$5:$B$1000,A75,恒生指数!$L$5:$L$1000),"")</f>
        <v/>
      </c>
      <c r="F75" s="7">
        <f>IFERROR(SUMIF(纳指100!$B$5:$B$1000,A75,纳指100!$L$5:$L$1000),"")</f>
        <v/>
      </c>
      <c r="G75" s="7">
        <f>IFERROR(IF(M75="增量阶段",H75,SUMPRODUCT(MAX(C75,0),1)+SUMPRODUCT(MAX(D75,0),1)+SUMPRODUCT(MAX(E75,0),1)+SUMPRODUCT(MAX(F75,0),1)),"")</f>
        <v/>
      </c>
      <c r="H75" s="17" t="n"/>
      <c r="I75" s="7">
        <f>IFERROR(MAX(-C75,0)+MAX(-D75,0)+MAX(-E75,0)+MAX(-F75,0),"")</f>
        <v/>
      </c>
      <c r="J75" s="7">
        <f>IFERROR(IF(M75="增量阶段",MAX(C75,0)+MAX(D75,0)+MAX(E75,0)+MAX(F75,0),0),"")</f>
        <v/>
      </c>
      <c r="K75" s="13">
        <f>IFERROR(K74+H75+I75-J75,"")</f>
        <v/>
      </c>
      <c r="L75" s="7">
        <f>IFERROR(L74+C75+D75+E75+F75,"")</f>
        <v/>
      </c>
      <c r="M75" s="5">
        <f>IFERROR(IF(L75&gt;=参数配置!$C$18,"增量阶段","存量阶段"),"")</f>
        <v/>
      </c>
    </row>
    <row r="76">
      <c r="A76" s="15" t="n"/>
      <c r="B76" s="33" t="n"/>
      <c r="C76" s="7">
        <f>IFERROR(SUMIF(沪深300!$B$5:$B$1000,A76,沪深300!$L$5:$L$1000),"")</f>
        <v/>
      </c>
      <c r="D76" s="7">
        <f>IFERROR(SUMIF(中证500!$B$5:$B$1000,A76,中证500!$L$5:$L$1000),"")</f>
        <v/>
      </c>
      <c r="E76" s="7">
        <f>IFERROR(SUMIF(恒生指数!$B$5:$B$1000,A76,恒生指数!$L$5:$L$1000),"")</f>
        <v/>
      </c>
      <c r="F76" s="7">
        <f>IFERROR(SUMIF(纳指100!$B$5:$B$1000,A76,纳指100!$L$5:$L$1000),"")</f>
        <v/>
      </c>
      <c r="G76" s="7">
        <f>IFERROR(IF(M76="增量阶段",H76,SUMPRODUCT(MAX(C76,0),1)+SUMPRODUCT(MAX(D76,0),1)+SUMPRODUCT(MAX(E76,0),1)+SUMPRODUCT(MAX(F76,0),1)),"")</f>
        <v/>
      </c>
      <c r="H76" s="17" t="n"/>
      <c r="I76" s="7">
        <f>IFERROR(MAX(-C76,0)+MAX(-D76,0)+MAX(-E76,0)+MAX(-F76,0),"")</f>
        <v/>
      </c>
      <c r="J76" s="7">
        <f>IFERROR(IF(M76="增量阶段",MAX(C76,0)+MAX(D76,0)+MAX(E76,0)+MAX(F76,0),0),"")</f>
        <v/>
      </c>
      <c r="K76" s="13">
        <f>IFERROR(K75+H76+I76-J76,"")</f>
        <v/>
      </c>
      <c r="L76" s="7">
        <f>IFERROR(L75+C76+D76+E76+F76,"")</f>
        <v/>
      </c>
      <c r="M76" s="5">
        <f>IFERROR(IF(L76&gt;=参数配置!$C$18,"增量阶段","存量阶段"),"")</f>
        <v/>
      </c>
    </row>
    <row r="77">
      <c r="A77" s="15" t="n"/>
      <c r="B77" s="33" t="n"/>
      <c r="C77" s="7">
        <f>IFERROR(SUMIF(沪深300!$B$5:$B$1000,A77,沪深300!$L$5:$L$1000),"")</f>
        <v/>
      </c>
      <c r="D77" s="7">
        <f>IFERROR(SUMIF(中证500!$B$5:$B$1000,A77,中证500!$L$5:$L$1000),"")</f>
        <v/>
      </c>
      <c r="E77" s="7">
        <f>IFERROR(SUMIF(恒生指数!$B$5:$B$1000,A77,恒生指数!$L$5:$L$1000),"")</f>
        <v/>
      </c>
      <c r="F77" s="7">
        <f>IFERROR(SUMIF(纳指100!$B$5:$B$1000,A77,纳指100!$L$5:$L$1000),"")</f>
        <v/>
      </c>
      <c r="G77" s="7">
        <f>IFERROR(IF(M77="增量阶段",H77,SUMPRODUCT(MAX(C77,0),1)+SUMPRODUCT(MAX(D77,0),1)+SUMPRODUCT(MAX(E77,0),1)+SUMPRODUCT(MAX(F77,0),1)),"")</f>
        <v/>
      </c>
      <c r="H77" s="17" t="n"/>
      <c r="I77" s="7">
        <f>IFERROR(MAX(-C77,0)+MAX(-D77,0)+MAX(-E77,0)+MAX(-F77,0),"")</f>
        <v/>
      </c>
      <c r="J77" s="7">
        <f>IFERROR(IF(M77="增量阶段",MAX(C77,0)+MAX(D77,0)+MAX(E77,0)+MAX(F77,0),0),"")</f>
        <v/>
      </c>
      <c r="K77" s="13">
        <f>IFERROR(K76+H77+I77-J77,"")</f>
        <v/>
      </c>
      <c r="L77" s="7">
        <f>IFERROR(L76+C77+D77+E77+F77,"")</f>
        <v/>
      </c>
      <c r="M77" s="5">
        <f>IFERROR(IF(L77&gt;=参数配置!$C$18,"增量阶段","存量阶段"),"")</f>
        <v/>
      </c>
    </row>
    <row r="78">
      <c r="A78" s="15" t="n"/>
      <c r="B78" s="33" t="n"/>
      <c r="C78" s="7">
        <f>IFERROR(SUMIF(沪深300!$B$5:$B$1000,A78,沪深300!$L$5:$L$1000),"")</f>
        <v/>
      </c>
      <c r="D78" s="7">
        <f>IFERROR(SUMIF(中证500!$B$5:$B$1000,A78,中证500!$L$5:$L$1000),"")</f>
        <v/>
      </c>
      <c r="E78" s="7">
        <f>IFERROR(SUMIF(恒生指数!$B$5:$B$1000,A78,恒生指数!$L$5:$L$1000),"")</f>
        <v/>
      </c>
      <c r="F78" s="7">
        <f>IFERROR(SUMIF(纳指100!$B$5:$B$1000,A78,纳指100!$L$5:$L$1000),"")</f>
        <v/>
      </c>
      <c r="G78" s="7">
        <f>IFERROR(IF(M78="增量阶段",H78,SUMPRODUCT(MAX(C78,0),1)+SUMPRODUCT(MAX(D78,0),1)+SUMPRODUCT(MAX(E78,0),1)+SUMPRODUCT(MAX(F78,0),1)),"")</f>
        <v/>
      </c>
      <c r="H78" s="17" t="n"/>
      <c r="I78" s="7">
        <f>IFERROR(MAX(-C78,0)+MAX(-D78,0)+MAX(-E78,0)+MAX(-F78,0),"")</f>
        <v/>
      </c>
      <c r="J78" s="7">
        <f>IFERROR(IF(M78="增量阶段",MAX(C78,0)+MAX(D78,0)+MAX(E78,0)+MAX(F78,0),0),"")</f>
        <v/>
      </c>
      <c r="K78" s="13">
        <f>IFERROR(K77+H78+I78-J78,"")</f>
        <v/>
      </c>
      <c r="L78" s="7">
        <f>IFERROR(L77+C78+D78+E78+F78,"")</f>
        <v/>
      </c>
      <c r="M78" s="5">
        <f>IFERROR(IF(L78&gt;=参数配置!$C$18,"增量阶段","存量阶段"),"")</f>
        <v/>
      </c>
    </row>
    <row r="79">
      <c r="A79" s="15" t="n"/>
      <c r="B79" s="33" t="n"/>
      <c r="C79" s="7">
        <f>IFERROR(SUMIF(沪深300!$B$5:$B$1000,A79,沪深300!$L$5:$L$1000),"")</f>
        <v/>
      </c>
      <c r="D79" s="7">
        <f>IFERROR(SUMIF(中证500!$B$5:$B$1000,A79,中证500!$L$5:$L$1000),"")</f>
        <v/>
      </c>
      <c r="E79" s="7">
        <f>IFERROR(SUMIF(恒生指数!$B$5:$B$1000,A79,恒生指数!$L$5:$L$1000),"")</f>
        <v/>
      </c>
      <c r="F79" s="7">
        <f>IFERROR(SUMIF(纳指100!$B$5:$B$1000,A79,纳指100!$L$5:$L$1000),"")</f>
        <v/>
      </c>
      <c r="G79" s="7">
        <f>IFERROR(IF(M79="增量阶段",H79,SUMPRODUCT(MAX(C79,0),1)+SUMPRODUCT(MAX(D79,0),1)+SUMPRODUCT(MAX(E79,0),1)+SUMPRODUCT(MAX(F79,0),1)),"")</f>
        <v/>
      </c>
      <c r="H79" s="17" t="n"/>
      <c r="I79" s="7">
        <f>IFERROR(MAX(-C79,0)+MAX(-D79,0)+MAX(-E79,0)+MAX(-F79,0),"")</f>
        <v/>
      </c>
      <c r="J79" s="7">
        <f>IFERROR(IF(M79="增量阶段",MAX(C79,0)+MAX(D79,0)+MAX(E79,0)+MAX(F79,0),0),"")</f>
        <v/>
      </c>
      <c r="K79" s="13">
        <f>IFERROR(K78+H79+I79-J79,"")</f>
        <v/>
      </c>
      <c r="L79" s="7">
        <f>IFERROR(L78+C79+D79+E79+F79,"")</f>
        <v/>
      </c>
      <c r="M79" s="5">
        <f>IFERROR(IF(L79&gt;=参数配置!$C$18,"增量阶段","存量阶段"),"")</f>
        <v/>
      </c>
    </row>
    <row r="80">
      <c r="A80" s="15" t="n"/>
      <c r="B80" s="33" t="n"/>
      <c r="C80" s="7">
        <f>IFERROR(SUMIF(沪深300!$B$5:$B$1000,A80,沪深300!$L$5:$L$1000),"")</f>
        <v/>
      </c>
      <c r="D80" s="7">
        <f>IFERROR(SUMIF(中证500!$B$5:$B$1000,A80,中证500!$L$5:$L$1000),"")</f>
        <v/>
      </c>
      <c r="E80" s="7">
        <f>IFERROR(SUMIF(恒生指数!$B$5:$B$1000,A80,恒生指数!$L$5:$L$1000),"")</f>
        <v/>
      </c>
      <c r="F80" s="7">
        <f>IFERROR(SUMIF(纳指100!$B$5:$B$1000,A80,纳指100!$L$5:$L$1000),"")</f>
        <v/>
      </c>
      <c r="G80" s="7">
        <f>IFERROR(IF(M80="增量阶段",H80,SUMPRODUCT(MAX(C80,0),1)+SUMPRODUCT(MAX(D80,0),1)+SUMPRODUCT(MAX(E80,0),1)+SUMPRODUCT(MAX(F80,0),1)),"")</f>
        <v/>
      </c>
      <c r="H80" s="17" t="n"/>
      <c r="I80" s="7">
        <f>IFERROR(MAX(-C80,0)+MAX(-D80,0)+MAX(-E80,0)+MAX(-F80,0),"")</f>
        <v/>
      </c>
      <c r="J80" s="7">
        <f>IFERROR(IF(M80="增量阶段",MAX(C80,0)+MAX(D80,0)+MAX(E80,0)+MAX(F80,0),0),"")</f>
        <v/>
      </c>
      <c r="K80" s="13">
        <f>IFERROR(K79+H80+I80-J80,"")</f>
        <v/>
      </c>
      <c r="L80" s="7">
        <f>IFERROR(L79+C80+D80+E80+F80,"")</f>
        <v/>
      </c>
      <c r="M80" s="5">
        <f>IFERROR(IF(L80&gt;=参数配置!$C$18,"增量阶段","存量阶段"),"")</f>
        <v/>
      </c>
    </row>
    <row r="81">
      <c r="A81" s="15" t="n"/>
      <c r="B81" s="33" t="n"/>
      <c r="C81" s="7">
        <f>IFERROR(SUMIF(沪深300!$B$5:$B$1000,A81,沪深300!$L$5:$L$1000),"")</f>
        <v/>
      </c>
      <c r="D81" s="7">
        <f>IFERROR(SUMIF(中证500!$B$5:$B$1000,A81,中证500!$L$5:$L$1000),"")</f>
        <v/>
      </c>
      <c r="E81" s="7">
        <f>IFERROR(SUMIF(恒生指数!$B$5:$B$1000,A81,恒生指数!$L$5:$L$1000),"")</f>
        <v/>
      </c>
      <c r="F81" s="7">
        <f>IFERROR(SUMIF(纳指100!$B$5:$B$1000,A81,纳指100!$L$5:$L$1000),"")</f>
        <v/>
      </c>
      <c r="G81" s="7">
        <f>IFERROR(IF(M81="增量阶段",H81,SUMPRODUCT(MAX(C81,0),1)+SUMPRODUCT(MAX(D81,0),1)+SUMPRODUCT(MAX(E81,0),1)+SUMPRODUCT(MAX(F81,0),1)),"")</f>
        <v/>
      </c>
      <c r="H81" s="17" t="n"/>
      <c r="I81" s="7">
        <f>IFERROR(MAX(-C81,0)+MAX(-D81,0)+MAX(-E81,0)+MAX(-F81,0),"")</f>
        <v/>
      </c>
      <c r="J81" s="7">
        <f>IFERROR(IF(M81="增量阶段",MAX(C81,0)+MAX(D81,0)+MAX(E81,0)+MAX(F81,0),0),"")</f>
        <v/>
      </c>
      <c r="K81" s="13">
        <f>IFERROR(K80+H81+I81-J81,"")</f>
        <v/>
      </c>
      <c r="L81" s="7">
        <f>IFERROR(L80+C81+D81+E81+F81,"")</f>
        <v/>
      </c>
      <c r="M81" s="5">
        <f>IFERROR(IF(L81&gt;=参数配置!$C$18,"增量阶段","存量阶段"),"")</f>
        <v/>
      </c>
    </row>
    <row r="82">
      <c r="A82" s="15" t="n"/>
      <c r="B82" s="33" t="n"/>
      <c r="C82" s="7">
        <f>IFERROR(SUMIF(沪深300!$B$5:$B$1000,A82,沪深300!$L$5:$L$1000),"")</f>
        <v/>
      </c>
      <c r="D82" s="7">
        <f>IFERROR(SUMIF(中证500!$B$5:$B$1000,A82,中证500!$L$5:$L$1000),"")</f>
        <v/>
      </c>
      <c r="E82" s="7">
        <f>IFERROR(SUMIF(恒生指数!$B$5:$B$1000,A82,恒生指数!$L$5:$L$1000),"")</f>
        <v/>
      </c>
      <c r="F82" s="7">
        <f>IFERROR(SUMIF(纳指100!$B$5:$B$1000,A82,纳指100!$L$5:$L$1000),"")</f>
        <v/>
      </c>
      <c r="G82" s="7">
        <f>IFERROR(IF(M82="增量阶段",H82,SUMPRODUCT(MAX(C82,0),1)+SUMPRODUCT(MAX(D82,0),1)+SUMPRODUCT(MAX(E82,0),1)+SUMPRODUCT(MAX(F82,0),1)),"")</f>
        <v/>
      </c>
      <c r="H82" s="17" t="n"/>
      <c r="I82" s="7">
        <f>IFERROR(MAX(-C82,0)+MAX(-D82,0)+MAX(-E82,0)+MAX(-F82,0),"")</f>
        <v/>
      </c>
      <c r="J82" s="7">
        <f>IFERROR(IF(M82="增量阶段",MAX(C82,0)+MAX(D82,0)+MAX(E82,0)+MAX(F82,0),0),"")</f>
        <v/>
      </c>
      <c r="K82" s="13">
        <f>IFERROR(K81+H82+I82-J82,"")</f>
        <v/>
      </c>
      <c r="L82" s="7">
        <f>IFERROR(L81+C82+D82+E82+F82,"")</f>
        <v/>
      </c>
      <c r="M82" s="5">
        <f>IFERROR(IF(L82&gt;=参数配置!$C$18,"增量阶段","存量阶段"),"")</f>
        <v/>
      </c>
    </row>
    <row r="83">
      <c r="A83" s="15" t="n"/>
      <c r="B83" s="33" t="n"/>
      <c r="C83" s="7">
        <f>IFERROR(SUMIF(沪深300!$B$5:$B$1000,A83,沪深300!$L$5:$L$1000),"")</f>
        <v/>
      </c>
      <c r="D83" s="7">
        <f>IFERROR(SUMIF(中证500!$B$5:$B$1000,A83,中证500!$L$5:$L$1000),"")</f>
        <v/>
      </c>
      <c r="E83" s="7">
        <f>IFERROR(SUMIF(恒生指数!$B$5:$B$1000,A83,恒生指数!$L$5:$L$1000),"")</f>
        <v/>
      </c>
      <c r="F83" s="7">
        <f>IFERROR(SUMIF(纳指100!$B$5:$B$1000,A83,纳指100!$L$5:$L$1000),"")</f>
        <v/>
      </c>
      <c r="G83" s="7">
        <f>IFERROR(IF(M83="增量阶段",H83,SUMPRODUCT(MAX(C83,0),1)+SUMPRODUCT(MAX(D83,0),1)+SUMPRODUCT(MAX(E83,0),1)+SUMPRODUCT(MAX(F83,0),1)),"")</f>
        <v/>
      </c>
      <c r="H83" s="17" t="n"/>
      <c r="I83" s="7">
        <f>IFERROR(MAX(-C83,0)+MAX(-D83,0)+MAX(-E83,0)+MAX(-F83,0),"")</f>
        <v/>
      </c>
      <c r="J83" s="7">
        <f>IFERROR(IF(M83="增量阶段",MAX(C83,0)+MAX(D83,0)+MAX(E83,0)+MAX(F83,0),0),"")</f>
        <v/>
      </c>
      <c r="K83" s="13">
        <f>IFERROR(K82+H83+I83-J83,"")</f>
        <v/>
      </c>
      <c r="L83" s="7">
        <f>IFERROR(L82+C83+D83+E83+F83,"")</f>
        <v/>
      </c>
      <c r="M83" s="5">
        <f>IFERROR(IF(L83&gt;=参数配置!$C$18,"增量阶段","存量阶段"),"")</f>
        <v/>
      </c>
    </row>
    <row r="84">
      <c r="A84" s="15" t="n"/>
      <c r="B84" s="33" t="n"/>
      <c r="C84" s="7">
        <f>IFERROR(SUMIF(沪深300!$B$5:$B$1000,A84,沪深300!$L$5:$L$1000),"")</f>
        <v/>
      </c>
      <c r="D84" s="7">
        <f>IFERROR(SUMIF(中证500!$B$5:$B$1000,A84,中证500!$L$5:$L$1000),"")</f>
        <v/>
      </c>
      <c r="E84" s="7">
        <f>IFERROR(SUMIF(恒生指数!$B$5:$B$1000,A84,恒生指数!$L$5:$L$1000),"")</f>
        <v/>
      </c>
      <c r="F84" s="7">
        <f>IFERROR(SUMIF(纳指100!$B$5:$B$1000,A84,纳指100!$L$5:$L$1000),"")</f>
        <v/>
      </c>
      <c r="G84" s="7">
        <f>IFERROR(IF(M84="增量阶段",H84,SUMPRODUCT(MAX(C84,0),1)+SUMPRODUCT(MAX(D84,0),1)+SUMPRODUCT(MAX(E84,0),1)+SUMPRODUCT(MAX(F84,0),1)),"")</f>
        <v/>
      </c>
      <c r="H84" s="17" t="n"/>
      <c r="I84" s="7">
        <f>IFERROR(MAX(-C84,0)+MAX(-D84,0)+MAX(-E84,0)+MAX(-F84,0),"")</f>
        <v/>
      </c>
      <c r="J84" s="7">
        <f>IFERROR(IF(M84="增量阶段",MAX(C84,0)+MAX(D84,0)+MAX(E84,0)+MAX(F84,0),0),"")</f>
        <v/>
      </c>
      <c r="K84" s="13">
        <f>IFERROR(K83+H84+I84-J84,"")</f>
        <v/>
      </c>
      <c r="L84" s="7">
        <f>IFERROR(L83+C84+D84+E84+F84,"")</f>
        <v/>
      </c>
      <c r="M84" s="5">
        <f>IFERROR(IF(L84&gt;=参数配置!$C$18,"增量阶段","存量阶段"),"")</f>
        <v/>
      </c>
    </row>
    <row r="85">
      <c r="A85" s="15" t="n"/>
      <c r="B85" s="33" t="n"/>
      <c r="C85" s="7">
        <f>IFERROR(SUMIF(沪深300!$B$5:$B$1000,A85,沪深300!$L$5:$L$1000),"")</f>
        <v/>
      </c>
      <c r="D85" s="7">
        <f>IFERROR(SUMIF(中证500!$B$5:$B$1000,A85,中证500!$L$5:$L$1000),"")</f>
        <v/>
      </c>
      <c r="E85" s="7">
        <f>IFERROR(SUMIF(恒生指数!$B$5:$B$1000,A85,恒生指数!$L$5:$L$1000),"")</f>
        <v/>
      </c>
      <c r="F85" s="7">
        <f>IFERROR(SUMIF(纳指100!$B$5:$B$1000,A85,纳指100!$L$5:$L$1000),"")</f>
        <v/>
      </c>
      <c r="G85" s="7">
        <f>IFERROR(IF(M85="增量阶段",H85,SUMPRODUCT(MAX(C85,0),1)+SUMPRODUCT(MAX(D85,0),1)+SUMPRODUCT(MAX(E85,0),1)+SUMPRODUCT(MAX(F85,0),1)),"")</f>
        <v/>
      </c>
      <c r="H85" s="17" t="n"/>
      <c r="I85" s="7">
        <f>IFERROR(MAX(-C85,0)+MAX(-D85,0)+MAX(-E85,0)+MAX(-F85,0),"")</f>
        <v/>
      </c>
      <c r="J85" s="7">
        <f>IFERROR(IF(M85="增量阶段",MAX(C85,0)+MAX(D85,0)+MAX(E85,0)+MAX(F85,0),0),"")</f>
        <v/>
      </c>
      <c r="K85" s="13">
        <f>IFERROR(K84+H85+I85-J85,"")</f>
        <v/>
      </c>
      <c r="L85" s="7">
        <f>IFERROR(L84+C85+D85+E85+F85,"")</f>
        <v/>
      </c>
      <c r="M85" s="5">
        <f>IFERROR(IF(L85&gt;=参数配置!$C$18,"增量阶段","存量阶段"),"")</f>
        <v/>
      </c>
    </row>
    <row r="86">
      <c r="A86" s="15" t="n"/>
      <c r="B86" s="33" t="n"/>
      <c r="C86" s="7">
        <f>IFERROR(SUMIF(沪深300!$B$5:$B$1000,A86,沪深300!$L$5:$L$1000),"")</f>
        <v/>
      </c>
      <c r="D86" s="7">
        <f>IFERROR(SUMIF(中证500!$B$5:$B$1000,A86,中证500!$L$5:$L$1000),"")</f>
        <v/>
      </c>
      <c r="E86" s="7">
        <f>IFERROR(SUMIF(恒生指数!$B$5:$B$1000,A86,恒生指数!$L$5:$L$1000),"")</f>
        <v/>
      </c>
      <c r="F86" s="7">
        <f>IFERROR(SUMIF(纳指100!$B$5:$B$1000,A86,纳指100!$L$5:$L$1000),"")</f>
        <v/>
      </c>
      <c r="G86" s="7">
        <f>IFERROR(IF(M86="增量阶段",H86,SUMPRODUCT(MAX(C86,0),1)+SUMPRODUCT(MAX(D86,0),1)+SUMPRODUCT(MAX(E86,0),1)+SUMPRODUCT(MAX(F86,0),1)),"")</f>
        <v/>
      </c>
      <c r="H86" s="17" t="n"/>
      <c r="I86" s="7">
        <f>IFERROR(MAX(-C86,0)+MAX(-D86,0)+MAX(-E86,0)+MAX(-F86,0),"")</f>
        <v/>
      </c>
      <c r="J86" s="7">
        <f>IFERROR(IF(M86="增量阶段",MAX(C86,0)+MAX(D86,0)+MAX(E86,0)+MAX(F86,0),0),"")</f>
        <v/>
      </c>
      <c r="K86" s="13">
        <f>IFERROR(K85+H86+I86-J86,"")</f>
        <v/>
      </c>
      <c r="L86" s="7">
        <f>IFERROR(L85+C86+D86+E86+F86,"")</f>
        <v/>
      </c>
      <c r="M86" s="5">
        <f>IFERROR(IF(L86&gt;=参数配置!$C$18,"增量阶段","存量阶段"),"")</f>
        <v/>
      </c>
    </row>
    <row r="87">
      <c r="A87" s="15" t="n"/>
      <c r="B87" s="33" t="n"/>
      <c r="C87" s="7">
        <f>IFERROR(SUMIF(沪深300!$B$5:$B$1000,A87,沪深300!$L$5:$L$1000),"")</f>
        <v/>
      </c>
      <c r="D87" s="7">
        <f>IFERROR(SUMIF(中证500!$B$5:$B$1000,A87,中证500!$L$5:$L$1000),"")</f>
        <v/>
      </c>
      <c r="E87" s="7">
        <f>IFERROR(SUMIF(恒生指数!$B$5:$B$1000,A87,恒生指数!$L$5:$L$1000),"")</f>
        <v/>
      </c>
      <c r="F87" s="7">
        <f>IFERROR(SUMIF(纳指100!$B$5:$B$1000,A87,纳指100!$L$5:$L$1000),"")</f>
        <v/>
      </c>
      <c r="G87" s="7">
        <f>IFERROR(IF(M87="增量阶段",H87,SUMPRODUCT(MAX(C87,0),1)+SUMPRODUCT(MAX(D87,0),1)+SUMPRODUCT(MAX(E87,0),1)+SUMPRODUCT(MAX(F87,0),1)),"")</f>
        <v/>
      </c>
      <c r="H87" s="17" t="n"/>
      <c r="I87" s="7">
        <f>IFERROR(MAX(-C87,0)+MAX(-D87,0)+MAX(-E87,0)+MAX(-F87,0),"")</f>
        <v/>
      </c>
      <c r="J87" s="7">
        <f>IFERROR(IF(M87="增量阶段",MAX(C87,0)+MAX(D87,0)+MAX(E87,0)+MAX(F87,0),0),"")</f>
        <v/>
      </c>
      <c r="K87" s="13">
        <f>IFERROR(K86+H87+I87-J87,"")</f>
        <v/>
      </c>
      <c r="L87" s="7">
        <f>IFERROR(L86+C87+D87+E87+F87,"")</f>
        <v/>
      </c>
      <c r="M87" s="5">
        <f>IFERROR(IF(L87&gt;=参数配置!$C$18,"增量阶段","存量阶段"),"")</f>
        <v/>
      </c>
    </row>
    <row r="88">
      <c r="A88" s="15" t="n"/>
      <c r="B88" s="33" t="n"/>
      <c r="C88" s="7">
        <f>IFERROR(SUMIF(沪深300!$B$5:$B$1000,A88,沪深300!$L$5:$L$1000),"")</f>
        <v/>
      </c>
      <c r="D88" s="7">
        <f>IFERROR(SUMIF(中证500!$B$5:$B$1000,A88,中证500!$L$5:$L$1000),"")</f>
        <v/>
      </c>
      <c r="E88" s="7">
        <f>IFERROR(SUMIF(恒生指数!$B$5:$B$1000,A88,恒生指数!$L$5:$L$1000),"")</f>
        <v/>
      </c>
      <c r="F88" s="7">
        <f>IFERROR(SUMIF(纳指100!$B$5:$B$1000,A88,纳指100!$L$5:$L$1000),"")</f>
        <v/>
      </c>
      <c r="G88" s="7">
        <f>IFERROR(IF(M88="增量阶段",H88,SUMPRODUCT(MAX(C88,0),1)+SUMPRODUCT(MAX(D88,0),1)+SUMPRODUCT(MAX(E88,0),1)+SUMPRODUCT(MAX(F88,0),1)),"")</f>
        <v/>
      </c>
      <c r="H88" s="17" t="n"/>
      <c r="I88" s="7">
        <f>IFERROR(MAX(-C88,0)+MAX(-D88,0)+MAX(-E88,0)+MAX(-F88,0),"")</f>
        <v/>
      </c>
      <c r="J88" s="7">
        <f>IFERROR(IF(M88="增量阶段",MAX(C88,0)+MAX(D88,0)+MAX(E88,0)+MAX(F88,0),0),"")</f>
        <v/>
      </c>
      <c r="K88" s="13">
        <f>IFERROR(K87+H88+I88-J88,"")</f>
        <v/>
      </c>
      <c r="L88" s="7">
        <f>IFERROR(L87+C88+D88+E88+F88,"")</f>
        <v/>
      </c>
      <c r="M88" s="5">
        <f>IFERROR(IF(L88&gt;=参数配置!$C$18,"增量阶段","存量阶段"),"")</f>
        <v/>
      </c>
    </row>
    <row r="89">
      <c r="A89" s="15" t="n"/>
      <c r="B89" s="33" t="n"/>
      <c r="C89" s="7">
        <f>IFERROR(SUMIF(沪深300!$B$5:$B$1000,A89,沪深300!$L$5:$L$1000),"")</f>
        <v/>
      </c>
      <c r="D89" s="7">
        <f>IFERROR(SUMIF(中证500!$B$5:$B$1000,A89,中证500!$L$5:$L$1000),"")</f>
        <v/>
      </c>
      <c r="E89" s="7">
        <f>IFERROR(SUMIF(恒生指数!$B$5:$B$1000,A89,恒生指数!$L$5:$L$1000),"")</f>
        <v/>
      </c>
      <c r="F89" s="7">
        <f>IFERROR(SUMIF(纳指100!$B$5:$B$1000,A89,纳指100!$L$5:$L$1000),"")</f>
        <v/>
      </c>
      <c r="G89" s="7">
        <f>IFERROR(IF(M89="增量阶段",H89,SUMPRODUCT(MAX(C89,0),1)+SUMPRODUCT(MAX(D89,0),1)+SUMPRODUCT(MAX(E89,0),1)+SUMPRODUCT(MAX(F89,0),1)),"")</f>
        <v/>
      </c>
      <c r="H89" s="17" t="n"/>
      <c r="I89" s="7">
        <f>IFERROR(MAX(-C89,0)+MAX(-D89,0)+MAX(-E89,0)+MAX(-F89,0),"")</f>
        <v/>
      </c>
      <c r="J89" s="7">
        <f>IFERROR(IF(M89="增量阶段",MAX(C89,0)+MAX(D89,0)+MAX(E89,0)+MAX(F89,0),0),"")</f>
        <v/>
      </c>
      <c r="K89" s="13">
        <f>IFERROR(K88+H89+I89-J89,"")</f>
        <v/>
      </c>
      <c r="L89" s="7">
        <f>IFERROR(L88+C89+D89+E89+F89,"")</f>
        <v/>
      </c>
      <c r="M89" s="5">
        <f>IFERROR(IF(L89&gt;=参数配置!$C$18,"增量阶段","存量阶段"),"")</f>
        <v/>
      </c>
    </row>
    <row r="90">
      <c r="A90" s="15" t="n"/>
      <c r="B90" s="33" t="n"/>
      <c r="C90" s="7">
        <f>IFERROR(SUMIF(沪深300!$B$5:$B$1000,A90,沪深300!$L$5:$L$1000),"")</f>
        <v/>
      </c>
      <c r="D90" s="7">
        <f>IFERROR(SUMIF(中证500!$B$5:$B$1000,A90,中证500!$L$5:$L$1000),"")</f>
        <v/>
      </c>
      <c r="E90" s="7">
        <f>IFERROR(SUMIF(恒生指数!$B$5:$B$1000,A90,恒生指数!$L$5:$L$1000),"")</f>
        <v/>
      </c>
      <c r="F90" s="7">
        <f>IFERROR(SUMIF(纳指100!$B$5:$B$1000,A90,纳指100!$L$5:$L$1000),"")</f>
        <v/>
      </c>
      <c r="G90" s="7">
        <f>IFERROR(IF(M90="增量阶段",H90,SUMPRODUCT(MAX(C90,0),1)+SUMPRODUCT(MAX(D90,0),1)+SUMPRODUCT(MAX(E90,0),1)+SUMPRODUCT(MAX(F90,0),1)),"")</f>
        <v/>
      </c>
      <c r="H90" s="17" t="n"/>
      <c r="I90" s="7">
        <f>IFERROR(MAX(-C90,0)+MAX(-D90,0)+MAX(-E90,0)+MAX(-F90,0),"")</f>
        <v/>
      </c>
      <c r="J90" s="7">
        <f>IFERROR(IF(M90="增量阶段",MAX(C90,0)+MAX(D90,0)+MAX(E90,0)+MAX(F90,0),0),"")</f>
        <v/>
      </c>
      <c r="K90" s="13">
        <f>IFERROR(K89+H90+I90-J90,"")</f>
        <v/>
      </c>
      <c r="L90" s="7">
        <f>IFERROR(L89+C90+D90+E90+F90,"")</f>
        <v/>
      </c>
      <c r="M90" s="5">
        <f>IFERROR(IF(L90&gt;=参数配置!$C$18,"增量阶段","存量阶段"),"")</f>
        <v/>
      </c>
    </row>
    <row r="91">
      <c r="A91" s="15" t="n"/>
      <c r="B91" s="33" t="n"/>
      <c r="C91" s="7">
        <f>IFERROR(SUMIF(沪深300!$B$5:$B$1000,A91,沪深300!$L$5:$L$1000),"")</f>
        <v/>
      </c>
      <c r="D91" s="7">
        <f>IFERROR(SUMIF(中证500!$B$5:$B$1000,A91,中证500!$L$5:$L$1000),"")</f>
        <v/>
      </c>
      <c r="E91" s="7">
        <f>IFERROR(SUMIF(恒生指数!$B$5:$B$1000,A91,恒生指数!$L$5:$L$1000),"")</f>
        <v/>
      </c>
      <c r="F91" s="7">
        <f>IFERROR(SUMIF(纳指100!$B$5:$B$1000,A91,纳指100!$L$5:$L$1000),"")</f>
        <v/>
      </c>
      <c r="G91" s="7">
        <f>IFERROR(IF(M91="增量阶段",H91,SUMPRODUCT(MAX(C91,0),1)+SUMPRODUCT(MAX(D91,0),1)+SUMPRODUCT(MAX(E91,0),1)+SUMPRODUCT(MAX(F91,0),1)),"")</f>
        <v/>
      </c>
      <c r="H91" s="17" t="n"/>
      <c r="I91" s="7">
        <f>IFERROR(MAX(-C91,0)+MAX(-D91,0)+MAX(-E91,0)+MAX(-F91,0),"")</f>
        <v/>
      </c>
      <c r="J91" s="7">
        <f>IFERROR(IF(M91="增量阶段",MAX(C91,0)+MAX(D91,0)+MAX(E91,0)+MAX(F91,0),0),"")</f>
        <v/>
      </c>
      <c r="K91" s="13">
        <f>IFERROR(K90+H91+I91-J91,"")</f>
        <v/>
      </c>
      <c r="L91" s="7">
        <f>IFERROR(L90+C91+D91+E91+F91,"")</f>
        <v/>
      </c>
      <c r="M91" s="5">
        <f>IFERROR(IF(L91&gt;=参数配置!$C$18,"增量阶段","存量阶段"),"")</f>
        <v/>
      </c>
    </row>
    <row r="92">
      <c r="A92" s="15" t="n"/>
      <c r="B92" s="33" t="n"/>
      <c r="C92" s="7">
        <f>IFERROR(SUMIF(沪深300!$B$5:$B$1000,A92,沪深300!$L$5:$L$1000),"")</f>
        <v/>
      </c>
      <c r="D92" s="7">
        <f>IFERROR(SUMIF(中证500!$B$5:$B$1000,A92,中证500!$L$5:$L$1000),"")</f>
        <v/>
      </c>
      <c r="E92" s="7">
        <f>IFERROR(SUMIF(恒生指数!$B$5:$B$1000,A92,恒生指数!$L$5:$L$1000),"")</f>
        <v/>
      </c>
      <c r="F92" s="7">
        <f>IFERROR(SUMIF(纳指100!$B$5:$B$1000,A92,纳指100!$L$5:$L$1000),"")</f>
        <v/>
      </c>
      <c r="G92" s="7">
        <f>IFERROR(IF(M92="增量阶段",H92,SUMPRODUCT(MAX(C92,0),1)+SUMPRODUCT(MAX(D92,0),1)+SUMPRODUCT(MAX(E92,0),1)+SUMPRODUCT(MAX(F92,0),1)),"")</f>
        <v/>
      </c>
      <c r="H92" s="17" t="n"/>
      <c r="I92" s="7">
        <f>IFERROR(MAX(-C92,0)+MAX(-D92,0)+MAX(-E92,0)+MAX(-F92,0),"")</f>
        <v/>
      </c>
      <c r="J92" s="7">
        <f>IFERROR(IF(M92="增量阶段",MAX(C92,0)+MAX(D92,0)+MAX(E92,0)+MAX(F92,0),0),"")</f>
        <v/>
      </c>
      <c r="K92" s="13">
        <f>IFERROR(K91+H92+I92-J92,"")</f>
        <v/>
      </c>
      <c r="L92" s="7">
        <f>IFERROR(L91+C92+D92+E92+F92,"")</f>
        <v/>
      </c>
      <c r="M92" s="5">
        <f>IFERROR(IF(L92&gt;=参数配置!$C$18,"增量阶段","存量阶段"),"")</f>
        <v/>
      </c>
    </row>
    <row r="93">
      <c r="A93" s="15" t="n"/>
      <c r="B93" s="33" t="n"/>
      <c r="C93" s="7">
        <f>IFERROR(SUMIF(沪深300!$B$5:$B$1000,A93,沪深300!$L$5:$L$1000),"")</f>
        <v/>
      </c>
      <c r="D93" s="7">
        <f>IFERROR(SUMIF(中证500!$B$5:$B$1000,A93,中证500!$L$5:$L$1000),"")</f>
        <v/>
      </c>
      <c r="E93" s="7">
        <f>IFERROR(SUMIF(恒生指数!$B$5:$B$1000,A93,恒生指数!$L$5:$L$1000),"")</f>
        <v/>
      </c>
      <c r="F93" s="7">
        <f>IFERROR(SUMIF(纳指100!$B$5:$B$1000,A93,纳指100!$L$5:$L$1000),"")</f>
        <v/>
      </c>
      <c r="G93" s="7">
        <f>IFERROR(IF(M93="增量阶段",H93,SUMPRODUCT(MAX(C93,0),1)+SUMPRODUCT(MAX(D93,0),1)+SUMPRODUCT(MAX(E93,0),1)+SUMPRODUCT(MAX(F93,0),1)),"")</f>
        <v/>
      </c>
      <c r="H93" s="17" t="n"/>
      <c r="I93" s="7">
        <f>IFERROR(MAX(-C93,0)+MAX(-D93,0)+MAX(-E93,0)+MAX(-F93,0),"")</f>
        <v/>
      </c>
      <c r="J93" s="7">
        <f>IFERROR(IF(M93="增量阶段",MAX(C93,0)+MAX(D93,0)+MAX(E93,0)+MAX(F93,0),0),"")</f>
        <v/>
      </c>
      <c r="K93" s="13">
        <f>IFERROR(K92+H93+I93-J93,"")</f>
        <v/>
      </c>
      <c r="L93" s="7">
        <f>IFERROR(L92+C93+D93+E93+F93,"")</f>
        <v/>
      </c>
      <c r="M93" s="5">
        <f>IFERROR(IF(L93&gt;=参数配置!$C$18,"增量阶段","存量阶段"),"")</f>
        <v/>
      </c>
    </row>
    <row r="94">
      <c r="A94" s="15" t="n"/>
      <c r="B94" s="33" t="n"/>
      <c r="C94" s="7">
        <f>IFERROR(SUMIF(沪深300!$B$5:$B$1000,A94,沪深300!$L$5:$L$1000),"")</f>
        <v/>
      </c>
      <c r="D94" s="7">
        <f>IFERROR(SUMIF(中证500!$B$5:$B$1000,A94,中证500!$L$5:$L$1000),"")</f>
        <v/>
      </c>
      <c r="E94" s="7">
        <f>IFERROR(SUMIF(恒生指数!$B$5:$B$1000,A94,恒生指数!$L$5:$L$1000),"")</f>
        <v/>
      </c>
      <c r="F94" s="7">
        <f>IFERROR(SUMIF(纳指100!$B$5:$B$1000,A94,纳指100!$L$5:$L$1000),"")</f>
        <v/>
      </c>
      <c r="G94" s="7">
        <f>IFERROR(IF(M94="增量阶段",H94,SUMPRODUCT(MAX(C94,0),1)+SUMPRODUCT(MAX(D94,0),1)+SUMPRODUCT(MAX(E94,0),1)+SUMPRODUCT(MAX(F94,0),1)),"")</f>
        <v/>
      </c>
      <c r="H94" s="17" t="n"/>
      <c r="I94" s="7">
        <f>IFERROR(MAX(-C94,0)+MAX(-D94,0)+MAX(-E94,0)+MAX(-F94,0),"")</f>
        <v/>
      </c>
      <c r="J94" s="7">
        <f>IFERROR(IF(M94="增量阶段",MAX(C94,0)+MAX(D94,0)+MAX(E94,0)+MAX(F94,0),0),"")</f>
        <v/>
      </c>
      <c r="K94" s="13">
        <f>IFERROR(K93+H94+I94-J94,"")</f>
        <v/>
      </c>
      <c r="L94" s="7">
        <f>IFERROR(L93+C94+D94+E94+F94,"")</f>
        <v/>
      </c>
      <c r="M94" s="5">
        <f>IFERROR(IF(L94&gt;=参数配置!$C$18,"增量阶段","存量阶段"),"")</f>
        <v/>
      </c>
    </row>
    <row r="95">
      <c r="A95" s="15" t="n"/>
      <c r="B95" s="33" t="n"/>
      <c r="C95" s="7">
        <f>IFERROR(SUMIF(沪深300!$B$5:$B$1000,A95,沪深300!$L$5:$L$1000),"")</f>
        <v/>
      </c>
      <c r="D95" s="7">
        <f>IFERROR(SUMIF(中证500!$B$5:$B$1000,A95,中证500!$L$5:$L$1000),"")</f>
        <v/>
      </c>
      <c r="E95" s="7">
        <f>IFERROR(SUMIF(恒生指数!$B$5:$B$1000,A95,恒生指数!$L$5:$L$1000),"")</f>
        <v/>
      </c>
      <c r="F95" s="7">
        <f>IFERROR(SUMIF(纳指100!$B$5:$B$1000,A95,纳指100!$L$5:$L$1000),"")</f>
        <v/>
      </c>
      <c r="G95" s="7">
        <f>IFERROR(IF(M95="增量阶段",H95,SUMPRODUCT(MAX(C95,0),1)+SUMPRODUCT(MAX(D95,0),1)+SUMPRODUCT(MAX(E95,0),1)+SUMPRODUCT(MAX(F95,0),1)),"")</f>
        <v/>
      </c>
      <c r="H95" s="17" t="n"/>
      <c r="I95" s="7">
        <f>IFERROR(MAX(-C95,0)+MAX(-D95,0)+MAX(-E95,0)+MAX(-F95,0),"")</f>
        <v/>
      </c>
      <c r="J95" s="7">
        <f>IFERROR(IF(M95="增量阶段",MAX(C95,0)+MAX(D95,0)+MAX(E95,0)+MAX(F95,0),0),"")</f>
        <v/>
      </c>
      <c r="K95" s="13">
        <f>IFERROR(K94+H95+I95-J95,"")</f>
        <v/>
      </c>
      <c r="L95" s="7">
        <f>IFERROR(L94+C95+D95+E95+F95,"")</f>
        <v/>
      </c>
      <c r="M95" s="5">
        <f>IFERROR(IF(L95&gt;=参数配置!$C$18,"增量阶段","存量阶段"),"")</f>
        <v/>
      </c>
    </row>
    <row r="96">
      <c r="A96" s="15" t="n"/>
      <c r="B96" s="33" t="n"/>
      <c r="C96" s="7">
        <f>IFERROR(SUMIF(沪深300!$B$5:$B$1000,A96,沪深300!$L$5:$L$1000),"")</f>
        <v/>
      </c>
      <c r="D96" s="7">
        <f>IFERROR(SUMIF(中证500!$B$5:$B$1000,A96,中证500!$L$5:$L$1000),"")</f>
        <v/>
      </c>
      <c r="E96" s="7">
        <f>IFERROR(SUMIF(恒生指数!$B$5:$B$1000,A96,恒生指数!$L$5:$L$1000),"")</f>
        <v/>
      </c>
      <c r="F96" s="7">
        <f>IFERROR(SUMIF(纳指100!$B$5:$B$1000,A96,纳指100!$L$5:$L$1000),"")</f>
        <v/>
      </c>
      <c r="G96" s="7">
        <f>IFERROR(IF(M96="增量阶段",H96,SUMPRODUCT(MAX(C96,0),1)+SUMPRODUCT(MAX(D96,0),1)+SUMPRODUCT(MAX(E96,0),1)+SUMPRODUCT(MAX(F96,0),1)),"")</f>
        <v/>
      </c>
      <c r="H96" s="17" t="n"/>
      <c r="I96" s="7">
        <f>IFERROR(MAX(-C96,0)+MAX(-D96,0)+MAX(-E96,0)+MAX(-F96,0),"")</f>
        <v/>
      </c>
      <c r="J96" s="7">
        <f>IFERROR(IF(M96="增量阶段",MAX(C96,0)+MAX(D96,0)+MAX(E96,0)+MAX(F96,0),0),"")</f>
        <v/>
      </c>
      <c r="K96" s="13">
        <f>IFERROR(K95+H96+I96-J96,"")</f>
        <v/>
      </c>
      <c r="L96" s="7">
        <f>IFERROR(L95+C96+D96+E96+F96,"")</f>
        <v/>
      </c>
      <c r="M96" s="5">
        <f>IFERROR(IF(L96&gt;=参数配置!$C$18,"增量阶段","存量阶段"),"")</f>
        <v/>
      </c>
    </row>
    <row r="97">
      <c r="A97" s="15" t="n"/>
      <c r="B97" s="33" t="n"/>
      <c r="C97" s="7">
        <f>IFERROR(SUMIF(沪深300!$B$5:$B$1000,A97,沪深300!$L$5:$L$1000),"")</f>
        <v/>
      </c>
      <c r="D97" s="7">
        <f>IFERROR(SUMIF(中证500!$B$5:$B$1000,A97,中证500!$L$5:$L$1000),"")</f>
        <v/>
      </c>
      <c r="E97" s="7">
        <f>IFERROR(SUMIF(恒生指数!$B$5:$B$1000,A97,恒生指数!$L$5:$L$1000),"")</f>
        <v/>
      </c>
      <c r="F97" s="7">
        <f>IFERROR(SUMIF(纳指100!$B$5:$B$1000,A97,纳指100!$L$5:$L$1000),"")</f>
        <v/>
      </c>
      <c r="G97" s="7">
        <f>IFERROR(IF(M97="增量阶段",H97,SUMPRODUCT(MAX(C97,0),1)+SUMPRODUCT(MAX(D97,0),1)+SUMPRODUCT(MAX(E97,0),1)+SUMPRODUCT(MAX(F97,0),1)),"")</f>
        <v/>
      </c>
      <c r="H97" s="17" t="n"/>
      <c r="I97" s="7">
        <f>IFERROR(MAX(-C97,0)+MAX(-D97,0)+MAX(-E97,0)+MAX(-F97,0),"")</f>
        <v/>
      </c>
      <c r="J97" s="7">
        <f>IFERROR(IF(M97="增量阶段",MAX(C97,0)+MAX(D97,0)+MAX(E97,0)+MAX(F97,0),0),"")</f>
        <v/>
      </c>
      <c r="K97" s="13">
        <f>IFERROR(K96+H97+I97-J97,"")</f>
        <v/>
      </c>
      <c r="L97" s="7">
        <f>IFERROR(L96+C97+D97+E97+F97,"")</f>
        <v/>
      </c>
      <c r="M97" s="5">
        <f>IFERROR(IF(L97&gt;=参数配置!$C$18,"增量阶段","存量阶段"),"")</f>
        <v/>
      </c>
    </row>
    <row r="98">
      <c r="A98" s="15" t="n"/>
      <c r="B98" s="33" t="n"/>
      <c r="C98" s="7">
        <f>IFERROR(SUMIF(沪深300!$B$5:$B$1000,A98,沪深300!$L$5:$L$1000),"")</f>
        <v/>
      </c>
      <c r="D98" s="7">
        <f>IFERROR(SUMIF(中证500!$B$5:$B$1000,A98,中证500!$L$5:$L$1000),"")</f>
        <v/>
      </c>
      <c r="E98" s="7">
        <f>IFERROR(SUMIF(恒生指数!$B$5:$B$1000,A98,恒生指数!$L$5:$L$1000),"")</f>
        <v/>
      </c>
      <c r="F98" s="7">
        <f>IFERROR(SUMIF(纳指100!$B$5:$B$1000,A98,纳指100!$L$5:$L$1000),"")</f>
        <v/>
      </c>
      <c r="G98" s="7">
        <f>IFERROR(IF(M98="增量阶段",H98,SUMPRODUCT(MAX(C98,0),1)+SUMPRODUCT(MAX(D98,0),1)+SUMPRODUCT(MAX(E98,0),1)+SUMPRODUCT(MAX(F98,0),1)),"")</f>
        <v/>
      </c>
      <c r="H98" s="17" t="n"/>
      <c r="I98" s="7">
        <f>IFERROR(MAX(-C98,0)+MAX(-D98,0)+MAX(-E98,0)+MAX(-F98,0),"")</f>
        <v/>
      </c>
      <c r="J98" s="7">
        <f>IFERROR(IF(M98="增量阶段",MAX(C98,0)+MAX(D98,0)+MAX(E98,0)+MAX(F98,0),0),"")</f>
        <v/>
      </c>
      <c r="K98" s="13">
        <f>IFERROR(K97+H98+I98-J98,"")</f>
        <v/>
      </c>
      <c r="L98" s="7">
        <f>IFERROR(L97+C98+D98+E98+F98,"")</f>
        <v/>
      </c>
      <c r="M98" s="5">
        <f>IFERROR(IF(L98&gt;=参数配置!$C$18,"增量阶段","存量阶段"),"")</f>
        <v/>
      </c>
    </row>
    <row r="99">
      <c r="A99" s="15" t="n"/>
      <c r="B99" s="33" t="n"/>
      <c r="C99" s="7">
        <f>IFERROR(SUMIF(沪深300!$B$5:$B$1000,A99,沪深300!$L$5:$L$1000),"")</f>
        <v/>
      </c>
      <c r="D99" s="7">
        <f>IFERROR(SUMIF(中证500!$B$5:$B$1000,A99,中证500!$L$5:$L$1000),"")</f>
        <v/>
      </c>
      <c r="E99" s="7">
        <f>IFERROR(SUMIF(恒生指数!$B$5:$B$1000,A99,恒生指数!$L$5:$L$1000),"")</f>
        <v/>
      </c>
      <c r="F99" s="7">
        <f>IFERROR(SUMIF(纳指100!$B$5:$B$1000,A99,纳指100!$L$5:$L$1000),"")</f>
        <v/>
      </c>
      <c r="G99" s="7">
        <f>IFERROR(IF(M99="增量阶段",H99,SUMPRODUCT(MAX(C99,0),1)+SUMPRODUCT(MAX(D99,0),1)+SUMPRODUCT(MAX(E99,0),1)+SUMPRODUCT(MAX(F99,0),1)),"")</f>
        <v/>
      </c>
      <c r="H99" s="17" t="n"/>
      <c r="I99" s="7">
        <f>IFERROR(MAX(-C99,0)+MAX(-D99,0)+MAX(-E99,0)+MAX(-F99,0),"")</f>
        <v/>
      </c>
      <c r="J99" s="7">
        <f>IFERROR(IF(M99="增量阶段",MAX(C99,0)+MAX(D99,0)+MAX(E99,0)+MAX(F99,0),0),"")</f>
        <v/>
      </c>
      <c r="K99" s="13">
        <f>IFERROR(K98+H99+I99-J99,"")</f>
        <v/>
      </c>
      <c r="L99" s="7">
        <f>IFERROR(L98+C99+D99+E99+F99,"")</f>
        <v/>
      </c>
      <c r="M99" s="5">
        <f>IFERROR(IF(L99&gt;=参数配置!$C$18,"增量阶段","存量阶段"),"")</f>
        <v/>
      </c>
    </row>
    <row r="100">
      <c r="A100" s="15" t="n"/>
      <c r="B100" s="33" t="n"/>
      <c r="C100" s="7">
        <f>IFERROR(SUMIF(沪深300!$B$5:$B$1000,A100,沪深300!$L$5:$L$1000),"")</f>
        <v/>
      </c>
      <c r="D100" s="7">
        <f>IFERROR(SUMIF(中证500!$B$5:$B$1000,A100,中证500!$L$5:$L$1000),"")</f>
        <v/>
      </c>
      <c r="E100" s="7">
        <f>IFERROR(SUMIF(恒生指数!$B$5:$B$1000,A100,恒生指数!$L$5:$L$1000),"")</f>
        <v/>
      </c>
      <c r="F100" s="7">
        <f>IFERROR(SUMIF(纳指100!$B$5:$B$1000,A100,纳指100!$L$5:$L$1000),"")</f>
        <v/>
      </c>
      <c r="G100" s="7">
        <f>IFERROR(IF(M100="增量阶段",H100,SUMPRODUCT(MAX(C100,0),1)+SUMPRODUCT(MAX(D100,0),1)+SUMPRODUCT(MAX(E100,0),1)+SUMPRODUCT(MAX(F100,0),1)),"")</f>
        <v/>
      </c>
      <c r="H100" s="17" t="n"/>
      <c r="I100" s="7">
        <f>IFERROR(MAX(-C100,0)+MAX(-D100,0)+MAX(-E100,0)+MAX(-F100,0),"")</f>
        <v/>
      </c>
      <c r="J100" s="7">
        <f>IFERROR(IF(M100="增量阶段",MAX(C100,0)+MAX(D100,0)+MAX(E100,0)+MAX(F100,0),0),"")</f>
        <v/>
      </c>
      <c r="K100" s="13">
        <f>IFERROR(K99+H100+I100-J100,"")</f>
        <v/>
      </c>
      <c r="L100" s="7">
        <f>IFERROR(L99+C100+D100+E100+F100,"")</f>
        <v/>
      </c>
      <c r="M100" s="5">
        <f>IFERROR(IF(L100&gt;=参数配置!$C$18,"增量阶段","存量阶段"),"")</f>
        <v/>
      </c>
    </row>
    <row r="101">
      <c r="A101" s="15" t="n"/>
      <c r="B101" s="33" t="n"/>
      <c r="C101" s="7">
        <f>IFERROR(SUMIF(沪深300!$B$5:$B$1000,A101,沪深300!$L$5:$L$1000),"")</f>
        <v/>
      </c>
      <c r="D101" s="7">
        <f>IFERROR(SUMIF(中证500!$B$5:$B$1000,A101,中证500!$L$5:$L$1000),"")</f>
        <v/>
      </c>
      <c r="E101" s="7">
        <f>IFERROR(SUMIF(恒生指数!$B$5:$B$1000,A101,恒生指数!$L$5:$L$1000),"")</f>
        <v/>
      </c>
      <c r="F101" s="7">
        <f>IFERROR(SUMIF(纳指100!$B$5:$B$1000,A101,纳指100!$L$5:$L$1000),"")</f>
        <v/>
      </c>
      <c r="G101" s="7">
        <f>IFERROR(IF(M101="增量阶段",H101,SUMPRODUCT(MAX(C101,0),1)+SUMPRODUCT(MAX(D101,0),1)+SUMPRODUCT(MAX(E101,0),1)+SUMPRODUCT(MAX(F101,0),1)),"")</f>
        <v/>
      </c>
      <c r="H101" s="17" t="n"/>
      <c r="I101" s="7">
        <f>IFERROR(MAX(-C101,0)+MAX(-D101,0)+MAX(-E101,0)+MAX(-F101,0),"")</f>
        <v/>
      </c>
      <c r="J101" s="7">
        <f>IFERROR(IF(M101="增量阶段",MAX(C101,0)+MAX(D101,0)+MAX(E101,0)+MAX(F101,0),0),"")</f>
        <v/>
      </c>
      <c r="K101" s="13">
        <f>IFERROR(K100+H101+I101-J101,"")</f>
        <v/>
      </c>
      <c r="L101" s="7">
        <f>IFERROR(L100+C101+D101+E101+F101,"")</f>
        <v/>
      </c>
      <c r="M101" s="5">
        <f>IFERROR(IF(L101&gt;=参数配置!$C$18,"增量阶段","存量阶段"),"")</f>
        <v/>
      </c>
    </row>
    <row r="102">
      <c r="A102" s="15" t="n"/>
      <c r="B102" s="33" t="n"/>
      <c r="C102" s="7">
        <f>IFERROR(SUMIF(沪深300!$B$5:$B$1000,A102,沪深300!$L$5:$L$1000),"")</f>
        <v/>
      </c>
      <c r="D102" s="7">
        <f>IFERROR(SUMIF(中证500!$B$5:$B$1000,A102,中证500!$L$5:$L$1000),"")</f>
        <v/>
      </c>
      <c r="E102" s="7">
        <f>IFERROR(SUMIF(恒生指数!$B$5:$B$1000,A102,恒生指数!$L$5:$L$1000),"")</f>
        <v/>
      </c>
      <c r="F102" s="7">
        <f>IFERROR(SUMIF(纳指100!$B$5:$B$1000,A102,纳指100!$L$5:$L$1000),"")</f>
        <v/>
      </c>
      <c r="G102" s="7">
        <f>IFERROR(IF(M102="增量阶段",H102,SUMPRODUCT(MAX(C102,0),1)+SUMPRODUCT(MAX(D102,0),1)+SUMPRODUCT(MAX(E102,0),1)+SUMPRODUCT(MAX(F102,0),1)),"")</f>
        <v/>
      </c>
      <c r="H102" s="17" t="n"/>
      <c r="I102" s="7">
        <f>IFERROR(MAX(-C102,0)+MAX(-D102,0)+MAX(-E102,0)+MAX(-F102,0),"")</f>
        <v/>
      </c>
      <c r="J102" s="7">
        <f>IFERROR(IF(M102="增量阶段",MAX(C102,0)+MAX(D102,0)+MAX(E102,0)+MAX(F102,0),0),"")</f>
        <v/>
      </c>
      <c r="K102" s="13">
        <f>IFERROR(K101+H102+I102-J102,"")</f>
        <v/>
      </c>
      <c r="L102" s="7">
        <f>IFERROR(L101+C102+D102+E102+F102,"")</f>
        <v/>
      </c>
      <c r="M102" s="5">
        <f>IFERROR(IF(L102&gt;=参数配置!$C$18,"增量阶段","存量阶段"),"")</f>
        <v/>
      </c>
    </row>
    <row r="103">
      <c r="A103" s="15" t="n"/>
      <c r="B103" s="33" t="n"/>
      <c r="C103" s="7">
        <f>IFERROR(SUMIF(沪深300!$B$5:$B$1000,A103,沪深300!$L$5:$L$1000),"")</f>
        <v/>
      </c>
      <c r="D103" s="7">
        <f>IFERROR(SUMIF(中证500!$B$5:$B$1000,A103,中证500!$L$5:$L$1000),"")</f>
        <v/>
      </c>
      <c r="E103" s="7">
        <f>IFERROR(SUMIF(恒生指数!$B$5:$B$1000,A103,恒生指数!$L$5:$L$1000),"")</f>
        <v/>
      </c>
      <c r="F103" s="7">
        <f>IFERROR(SUMIF(纳指100!$B$5:$B$1000,A103,纳指100!$L$5:$L$1000),"")</f>
        <v/>
      </c>
      <c r="G103" s="7">
        <f>IFERROR(IF(M103="增量阶段",H103,SUMPRODUCT(MAX(C103,0),1)+SUMPRODUCT(MAX(D103,0),1)+SUMPRODUCT(MAX(E103,0),1)+SUMPRODUCT(MAX(F103,0),1)),"")</f>
        <v/>
      </c>
      <c r="H103" s="17" t="n"/>
      <c r="I103" s="7">
        <f>IFERROR(MAX(-C103,0)+MAX(-D103,0)+MAX(-E103,0)+MAX(-F103,0),"")</f>
        <v/>
      </c>
      <c r="J103" s="7">
        <f>IFERROR(IF(M103="增量阶段",MAX(C103,0)+MAX(D103,0)+MAX(E103,0)+MAX(F103,0),0),"")</f>
        <v/>
      </c>
      <c r="K103" s="13">
        <f>IFERROR(K102+H103+I103-J103,"")</f>
        <v/>
      </c>
      <c r="L103" s="7">
        <f>IFERROR(L102+C103+D103+E103+F103,"")</f>
        <v/>
      </c>
      <c r="M103" s="5">
        <f>IFERROR(IF(L103&gt;=参数配置!$C$18,"增量阶段","存量阶段"),"")</f>
        <v/>
      </c>
    </row>
    <row r="104">
      <c r="A104" s="15" t="n"/>
      <c r="B104" s="33" t="n"/>
      <c r="C104" s="7">
        <f>IFERROR(SUMIF(沪深300!$B$5:$B$1000,A104,沪深300!$L$5:$L$1000),"")</f>
        <v/>
      </c>
      <c r="D104" s="7">
        <f>IFERROR(SUMIF(中证500!$B$5:$B$1000,A104,中证500!$L$5:$L$1000),"")</f>
        <v/>
      </c>
      <c r="E104" s="7">
        <f>IFERROR(SUMIF(恒生指数!$B$5:$B$1000,A104,恒生指数!$L$5:$L$1000),"")</f>
        <v/>
      </c>
      <c r="F104" s="7">
        <f>IFERROR(SUMIF(纳指100!$B$5:$B$1000,A104,纳指100!$L$5:$L$1000),"")</f>
        <v/>
      </c>
      <c r="G104" s="7">
        <f>IFERROR(IF(M104="增量阶段",H104,SUMPRODUCT(MAX(C104,0),1)+SUMPRODUCT(MAX(D104,0),1)+SUMPRODUCT(MAX(E104,0),1)+SUMPRODUCT(MAX(F104,0),1)),"")</f>
        <v/>
      </c>
      <c r="H104" s="17" t="n"/>
      <c r="I104" s="7">
        <f>IFERROR(MAX(-C104,0)+MAX(-D104,0)+MAX(-E104,0)+MAX(-F104,0),"")</f>
        <v/>
      </c>
      <c r="J104" s="7">
        <f>IFERROR(IF(M104="增量阶段",MAX(C104,0)+MAX(D104,0)+MAX(E104,0)+MAX(F104,0),0),"")</f>
        <v/>
      </c>
      <c r="K104" s="13">
        <f>IFERROR(K103+H104+I104-J104,"")</f>
        <v/>
      </c>
      <c r="L104" s="7">
        <f>IFERROR(L103+C104+D104+E104+F104,"")</f>
        <v/>
      </c>
      <c r="M104" s="5">
        <f>IFERROR(IF(L104&gt;=参数配置!$C$18,"增量阶段","存量阶段"),"")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30" customWidth="1" min="5" max="5"/>
  </cols>
  <sheetData>
    <row r="1">
      <c r="A1" s="14" t="inlineStr">
        <is>
          <t>定投策略参数配置（修改此表，所有记录表自动更新）</t>
        </is>
      </c>
    </row>
    <row r="2">
      <c r="A2" s="2" t="inlineStr">
        <is>
          <t>黄色单元格可修改；绿色为只读说明</t>
        </is>
      </c>
    </row>
    <row r="4">
      <c r="A4" s="4" t="inlineStr">
        <is>
          <t>标的配比</t>
        </is>
      </c>
      <c r="B4" s="4" t="inlineStr">
        <is>
          <t>标的名称</t>
        </is>
      </c>
      <c r="C4" s="4" t="inlineStr">
        <is>
          <t>市场</t>
        </is>
      </c>
      <c r="D4" s="4" t="inlineStr">
        <is>
          <t>基准金额(元)</t>
        </is>
      </c>
      <c r="E4" s="4" t="inlineStr">
        <is>
          <t>权重</t>
        </is>
      </c>
    </row>
    <row r="5">
      <c r="A5" s="5" t="inlineStr">
        <is>
          <t>沪深300 ETF</t>
        </is>
      </c>
      <c r="B5" s="6" t="inlineStr">
        <is>
          <t>A股</t>
        </is>
      </c>
      <c r="C5" s="17" t="n">
        <v>1500</v>
      </c>
      <c r="D5" s="34" t="n">
        <v>0.25</v>
      </c>
    </row>
    <row r="6">
      <c r="A6" s="5" t="inlineStr">
        <is>
          <t>中证500 ETF</t>
        </is>
      </c>
      <c r="B6" s="6" t="inlineStr">
        <is>
          <t>A股</t>
        </is>
      </c>
      <c r="C6" s="17" t="n">
        <v>1500</v>
      </c>
      <c r="D6" s="34" t="n">
        <v>0.25</v>
      </c>
    </row>
    <row r="7">
      <c r="A7" s="5" t="inlineStr">
        <is>
          <t>恒生指数 ETF</t>
        </is>
      </c>
      <c r="B7" s="6" t="inlineStr">
        <is>
          <t>港股</t>
        </is>
      </c>
      <c r="C7" s="17" t="n">
        <v>600</v>
      </c>
      <c r="D7" s="34" t="n">
        <v>0.1</v>
      </c>
    </row>
    <row r="8">
      <c r="A8" s="5" t="inlineStr">
        <is>
          <t>纳指100 ETF</t>
        </is>
      </c>
      <c r="B8" s="6" t="inlineStr">
        <is>
          <t>美股</t>
        </is>
      </c>
      <c r="C8" s="17" t="n">
        <v>2400</v>
      </c>
      <c r="D8" s="34" t="n">
        <v>0.4</v>
      </c>
    </row>
    <row r="9">
      <c r="A9" s="5" t="inlineStr">
        <is>
          <t>合计</t>
        </is>
      </c>
      <c r="B9" s="6" t="inlineStr"/>
      <c r="C9" s="13">
        <f>SUM(C5:C8)</f>
        <v/>
      </c>
      <c r="D9" s="35">
        <f>SUM(D5:D8)</f>
        <v/>
      </c>
    </row>
    <row r="11">
      <c r="A11" s="4" t="inlineStr">
        <is>
          <t>清仓参数</t>
        </is>
      </c>
      <c r="B11" s="4" t="inlineStr">
        <is>
          <t>标的</t>
        </is>
      </c>
      <c r="C11" s="4" t="inlineStr">
        <is>
          <t>阈值</t>
        </is>
      </c>
      <c r="D11" s="4" t="inlineStr">
        <is>
          <t>说明</t>
        </is>
      </c>
    </row>
    <row r="12">
      <c r="A12" s="6" t="inlineStr">
        <is>
          <t>全仓清仓偏离度阈值</t>
        </is>
      </c>
      <c r="B12" s="6" t="inlineStr">
        <is>
          <t>沪深300 ETF</t>
        </is>
      </c>
      <c r="C12" s="36" t="n">
        <v>0.5</v>
      </c>
      <c r="D12" s="21" t="inlineStr">
        <is>
          <t>偏离度超 +50%，全部清仓并进入冷却期</t>
        </is>
      </c>
    </row>
    <row r="13">
      <c r="A13" s="6" t="inlineStr"/>
      <c r="B13" s="6" t="inlineStr">
        <is>
          <t>中证500 ETF</t>
        </is>
      </c>
      <c r="C13" s="36" t="n">
        <v>0.5</v>
      </c>
      <c r="D13" s="21" t="inlineStr"/>
    </row>
    <row r="14">
      <c r="A14" s="6" t="inlineStr"/>
      <c r="B14" s="6" t="inlineStr">
        <is>
          <t>恒生指数 ETF</t>
        </is>
      </c>
      <c r="C14" s="36" t="n">
        <v>0.35</v>
      </c>
      <c r="D14" s="21" t="inlineStr"/>
    </row>
    <row r="15">
      <c r="A15" s="6" t="inlineStr"/>
      <c r="B15" s="6" t="inlineStr">
        <is>
          <t>纳指100 ETF</t>
        </is>
      </c>
      <c r="C15" s="36" t="n">
        <v>0.3</v>
      </c>
      <c r="D15" s="21" t="inlineStr"/>
    </row>
    <row r="17">
      <c r="A17" s="3" t="inlineStr">
        <is>
          <t>三、增量阶段</t>
        </is>
      </c>
    </row>
    <row r="18">
      <c r="A18" s="5" t="inlineStr">
        <is>
          <t>触发门槛（累计净投入）</t>
        </is>
      </c>
      <c r="B18" s="6" t="inlineStr"/>
      <c r="C18" s="17" t="n">
        <v>150000</v>
      </c>
      <c r="D18" s="21" t="inlineStr">
        <is>
          <t>达到后切换为增量阶段，买卖均走储备金池</t>
        </is>
      </c>
      <c r="E18" s="37" t="n"/>
    </row>
    <row r="19">
      <c r="A19" s="5" t="inlineStr">
        <is>
          <t>每期增量注入金额</t>
        </is>
      </c>
      <c r="B19" s="6" t="inlineStr"/>
      <c r="C19" s="17" t="n">
        <v>2000</v>
      </c>
      <c r="D19" s="21" t="inlineStr">
        <is>
          <t>每期向储备金池注入的新增资金</t>
        </is>
      </c>
      <c r="E19" s="37" t="n"/>
    </row>
  </sheetData>
  <mergeCells count="4">
    <mergeCell ref="A2:F2"/>
    <mergeCell ref="D19:E19"/>
    <mergeCell ref="A1:F1"/>
    <mergeCell ref="D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4" customWidth="1" min="15" max="15"/>
    <col width="12" customWidth="1" min="16" max="16"/>
    <col width="30" customWidth="1" min="17" max="17"/>
  </cols>
  <sheetData>
    <row r="1">
      <c r="A1" s="14" t="inlineStr">
        <is>
          <t>沪深300 ETF — 定投追踪记录</t>
        </is>
      </c>
    </row>
    <row r="2">
      <c r="A2" s="2" t="inlineStr">
        <is>
          <t>黄色=手动填写  绿色=自动计算  蓝色=建议参考（可覆盖）</t>
        </is>
      </c>
    </row>
    <row r="3">
      <c r="A3" s="22" t="inlineStr">
        <is>
          <t>手动填写</t>
        </is>
      </c>
      <c r="B3" s="23" t="inlineStr">
        <is>
          <t>自动计算</t>
        </is>
      </c>
      <c r="C3" s="24" t="inlineStr">
        <is>
          <t>建议参考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25" t="inlineStr">
        <is>
          <t>期数偏移:</t>
        </is>
      </c>
      <c r="S3" s="26" t="n">
        <v>0</v>
      </c>
    </row>
    <row r="4" ht="32" customHeight="1">
      <c r="A4" s="4" t="inlineStr">
        <is>
          <t>日期</t>
        </is>
      </c>
      <c r="B4" s="4" t="inlineStr">
        <is>
          <t>期数</t>
        </is>
      </c>
      <c r="C4" s="4" t="inlineStr">
        <is>
          <t>目标市值</t>
        </is>
      </c>
      <c r="D4" s="4" t="inlineStr">
        <is>
          <t>当前价格</t>
        </is>
      </c>
      <c r="E4" s="4" t="inlineStr">
        <is>
          <t>250日均线</t>
        </is>
      </c>
      <c r="F4" s="4" t="inlineStr">
        <is>
          <t>均线偏离度</t>
        </is>
      </c>
      <c r="G4" s="4" t="inlineStr">
        <is>
          <t>持仓份额</t>
        </is>
      </c>
      <c r="H4" s="4" t="inlineStr">
        <is>
          <t>持仓市值</t>
        </is>
      </c>
      <c r="I4" s="4" t="inlineStr">
        <is>
          <t>建议操作金额</t>
        </is>
      </c>
      <c r="J4" s="4" t="inlineStr">
        <is>
          <t>建议操作</t>
        </is>
      </c>
      <c r="K4" s="4" t="inlineStr">
        <is>
          <t>建议金额</t>
        </is>
      </c>
      <c r="L4" s="4" t="inlineStr">
        <is>
          <t>实际操作(元)</t>
        </is>
      </c>
      <c r="M4" s="4" t="inlineStr">
        <is>
          <t>买卖份额</t>
        </is>
      </c>
      <c r="N4" s="4" t="inlineStr">
        <is>
          <t>操作后份额</t>
        </is>
      </c>
      <c r="O4" s="4" t="inlineStr">
        <is>
          <t>累计净投入</t>
        </is>
      </c>
      <c r="P4" s="4" t="inlineStr">
        <is>
          <t>储备金±</t>
        </is>
      </c>
      <c r="Q4" s="4" t="inlineStr">
        <is>
          <t>备注</t>
        </is>
      </c>
    </row>
    <row r="5">
      <c r="A5" s="33" t="inlineStr">
        <is>
          <t>2026-04-24</t>
        </is>
      </c>
      <c r="B5" s="15" t="n">
        <v>1</v>
      </c>
      <c r="C5" s="7">
        <f>IFERROR(参数配置!$C$5*(B5-$S$3),"")</f>
        <v/>
      </c>
      <c r="D5" s="27" t="n">
        <v>4.774</v>
      </c>
      <c r="E5" s="27" t="n">
        <v>4.3435</v>
      </c>
      <c r="F5" s="28">
        <f>IFERROR((D5-E5)/E5,"")</f>
        <v/>
      </c>
      <c r="G5" s="27" t="n">
        <v>0</v>
      </c>
      <c r="H5" s="7">
        <f>IFERROR(G5*D5,"")</f>
        <v/>
      </c>
      <c r="I5" s="7">
        <f>IFERROR(IF(F5&gt;=参数配置!$C$12,-H5,C5-H5),"")</f>
        <v/>
      </c>
      <c r="J5" s="29">
        <f>IFERROR(IF(F5&gt;=参数配置!$C$12,"全仓清仓",IF(H5&gt;C5,"卖出超额","正常定投")),"")</f>
        <v/>
      </c>
      <c r="K5" s="30">
        <f>IFERROR(I5,"")</f>
        <v/>
      </c>
      <c r="L5" s="17" t="n">
        <v>1432.2</v>
      </c>
      <c r="M5" s="27" t="n">
        <v>300</v>
      </c>
      <c r="N5" s="31">
        <f>IFERROR(G5+M5,"")</f>
        <v/>
      </c>
      <c r="O5" s="7">
        <f>IFERROR(L5,"")</f>
        <v/>
      </c>
      <c r="P5" s="7">
        <f>IFERROR(-L5,"")</f>
        <v/>
      </c>
      <c r="Q5" s="32" t="n"/>
    </row>
    <row r="6">
      <c r="A6" s="33" t="inlineStr">
        <is>
          <t>2026-05-08</t>
        </is>
      </c>
      <c r="B6" s="15" t="n">
        <v>2</v>
      </c>
      <c r="C6" s="7">
        <f>IFERROR(参数配置!$C$5*(B6-$S$3),"")</f>
        <v/>
      </c>
      <c r="D6" s="27" t="n">
        <v>4.893</v>
      </c>
      <c r="E6" s="27" t="n">
        <v>4.3754</v>
      </c>
      <c r="F6" s="28">
        <f>IFERROR((D6-E6)/E6,"")</f>
        <v/>
      </c>
      <c r="G6" s="27" t="n">
        <v>300</v>
      </c>
      <c r="H6" s="7">
        <f>IFERROR(G6*D6,"")</f>
        <v/>
      </c>
      <c r="I6" s="7">
        <f>IFERROR(IF(F6&gt;=参数配置!$C$12,-H6,C6-H6),"")</f>
        <v/>
      </c>
      <c r="J6" s="29">
        <f>IFERROR(IF(F6&gt;=参数配置!$C$12,"全仓清仓",IF(H6&gt;C6,"卖出超额","正常定投")),"")</f>
        <v/>
      </c>
      <c r="K6" s="30">
        <f>IFERROR(I6,"")</f>
        <v/>
      </c>
      <c r="L6" s="17" t="n">
        <v>1467.9</v>
      </c>
      <c r="M6" s="27" t="n">
        <v>300</v>
      </c>
      <c r="N6" s="31">
        <f>IFERROR(G6+M6,"")</f>
        <v/>
      </c>
      <c r="O6" s="7">
        <f>IFERROR(O5+L6,"")</f>
        <v/>
      </c>
      <c r="P6" s="7">
        <f>IFERROR(-L6,"")</f>
        <v/>
      </c>
      <c r="Q6" s="32" t="n"/>
    </row>
    <row r="7">
      <c r="A7" s="33" t="inlineStr">
        <is>
          <t>2026-05-22</t>
        </is>
      </c>
      <c r="B7" s="15" t="n">
        <v>3</v>
      </c>
      <c r="C7" s="7">
        <f>IFERROR(参数配置!$C$5*(B7-$S$3),"")</f>
        <v/>
      </c>
      <c r="D7" s="27" t="n">
        <v>4.828</v>
      </c>
      <c r="E7" s="27" t="n">
        <v>4.4239</v>
      </c>
      <c r="F7" s="28">
        <f>IFERROR((D7-E7)/E7,"")</f>
        <v/>
      </c>
      <c r="G7" s="27" t="n">
        <v>600</v>
      </c>
      <c r="H7" s="7">
        <f>IFERROR(G7*D7,"")</f>
        <v/>
      </c>
      <c r="I7" s="7">
        <f>IFERROR(IF(F7&gt;=参数配置!$C$12,-H7,C7-H7),"")</f>
        <v/>
      </c>
      <c r="J7" s="29">
        <f>IFERROR(IF(F7&gt;=参数配置!$C$12,"全仓清仓",IF(H7&gt;C7,"卖出超额","正常定投")),"")</f>
        <v/>
      </c>
      <c r="K7" s="30">
        <f>IFERROR(I7,"")</f>
        <v/>
      </c>
      <c r="L7" s="17" t="n">
        <v>1448.4</v>
      </c>
      <c r="M7" s="27" t="n">
        <v>300</v>
      </c>
      <c r="N7" s="31">
        <f>IFERROR(G7+M7,"")</f>
        <v/>
      </c>
      <c r="O7" s="7">
        <f>IFERROR(O6+L7,"")</f>
        <v/>
      </c>
      <c r="P7" s="7">
        <f>IFERROR(-L7,"")</f>
        <v/>
      </c>
      <c r="Q7" s="32" t="n"/>
    </row>
    <row r="8">
      <c r="A8" s="33" t="n"/>
      <c r="B8" s="15" t="n"/>
      <c r="C8" s="7">
        <f>IFERROR(参数配置!$C$5*(B8-$S$3),"")</f>
        <v/>
      </c>
      <c r="D8" s="27" t="n"/>
      <c r="E8" s="27" t="n"/>
      <c r="F8" s="28">
        <f>IFERROR((D8-E8)/E8,"")</f>
        <v/>
      </c>
      <c r="G8" s="27" t="n"/>
      <c r="H8" s="7">
        <f>IFERROR(G8*D8,"")</f>
        <v/>
      </c>
      <c r="I8" s="7">
        <f>IFERROR(IF(F8&gt;=参数配置!$C$12,-H8,C8-H8),"")</f>
        <v/>
      </c>
      <c r="J8" s="29">
        <f>IFERROR(IF(F8&gt;=参数配置!$C$12,"全仓清仓",IF(H8&gt;C8,"卖出超额","正常定投")),"")</f>
        <v/>
      </c>
      <c r="K8" s="30">
        <f>IFERROR(I8,"")</f>
        <v/>
      </c>
      <c r="L8" s="17" t="n"/>
      <c r="M8" s="27" t="n"/>
      <c r="N8" s="31">
        <f>IFERROR(G8+M8,"")</f>
        <v/>
      </c>
      <c r="O8" s="7">
        <f>IFERROR(O7+L8,"")</f>
        <v/>
      </c>
      <c r="P8" s="7">
        <f>IFERROR(-L8,"")</f>
        <v/>
      </c>
      <c r="Q8" s="32" t="n"/>
    </row>
    <row r="9">
      <c r="A9" s="33" t="n"/>
      <c r="B9" s="15" t="n"/>
      <c r="C9" s="7">
        <f>IFERROR(参数配置!$C$5*(B9-$S$3),"")</f>
        <v/>
      </c>
      <c r="D9" s="27" t="n"/>
      <c r="E9" s="27" t="n"/>
      <c r="F9" s="28">
        <f>IFERROR((D9-E9)/E9,"")</f>
        <v/>
      </c>
      <c r="G9" s="27" t="n"/>
      <c r="H9" s="7">
        <f>IFERROR(G9*D9,"")</f>
        <v/>
      </c>
      <c r="I9" s="7">
        <f>IFERROR(IF(F9&gt;=参数配置!$C$12,-H9,C9-H9),"")</f>
        <v/>
      </c>
      <c r="J9" s="29">
        <f>IFERROR(IF(F9&gt;=参数配置!$C$12,"全仓清仓",IF(H9&gt;C9,"卖出超额","正常定投")),"")</f>
        <v/>
      </c>
      <c r="K9" s="30">
        <f>IFERROR(I9,"")</f>
        <v/>
      </c>
      <c r="L9" s="17" t="n"/>
      <c r="M9" s="27" t="n"/>
      <c r="N9" s="31">
        <f>IFERROR(G9+M9,"")</f>
        <v/>
      </c>
      <c r="O9" s="7">
        <f>IFERROR(O8+L9,"")</f>
        <v/>
      </c>
      <c r="P9" s="7">
        <f>IFERROR(-L9,"")</f>
        <v/>
      </c>
      <c r="Q9" s="32" t="n"/>
    </row>
    <row r="10">
      <c r="A10" s="33" t="n"/>
      <c r="B10" s="15" t="n"/>
      <c r="C10" s="7">
        <f>IFERROR(参数配置!$C$5*(B10-$S$3),"")</f>
        <v/>
      </c>
      <c r="D10" s="27" t="n"/>
      <c r="E10" s="27" t="n"/>
      <c r="F10" s="28">
        <f>IFERROR((D10-E10)/E10,"")</f>
        <v/>
      </c>
      <c r="G10" s="27" t="n"/>
      <c r="H10" s="7">
        <f>IFERROR(G10*D10,"")</f>
        <v/>
      </c>
      <c r="I10" s="7">
        <f>IFERROR(IF(F10&gt;=参数配置!$C$12,-H10,C10-H10),"")</f>
        <v/>
      </c>
      <c r="J10" s="29">
        <f>IFERROR(IF(F10&gt;=参数配置!$C$12,"全仓清仓",IF(H10&gt;C10,"卖出超额","正常定投")),"")</f>
        <v/>
      </c>
      <c r="K10" s="30">
        <f>IFERROR(I10,"")</f>
        <v/>
      </c>
      <c r="L10" s="17" t="n"/>
      <c r="M10" s="27" t="n"/>
      <c r="N10" s="31">
        <f>IFERROR(G10+M10,"")</f>
        <v/>
      </c>
      <c r="O10" s="7">
        <f>IFERROR(O9+L10,"")</f>
        <v/>
      </c>
      <c r="P10" s="7">
        <f>IFERROR(-L10,"")</f>
        <v/>
      </c>
      <c r="Q10" s="32" t="n"/>
    </row>
    <row r="11">
      <c r="A11" s="33" t="n"/>
      <c r="B11" s="15" t="n"/>
      <c r="C11" s="7">
        <f>IFERROR(参数配置!$C$5*(B11-$S$3),"")</f>
        <v/>
      </c>
      <c r="D11" s="27" t="n"/>
      <c r="E11" s="27" t="n"/>
      <c r="F11" s="28">
        <f>IFERROR((D11-E11)/E11,"")</f>
        <v/>
      </c>
      <c r="G11" s="27" t="n"/>
      <c r="H11" s="7">
        <f>IFERROR(G11*D11,"")</f>
        <v/>
      </c>
      <c r="I11" s="7">
        <f>IFERROR(IF(F11&gt;=参数配置!$C$12,-H11,C11-H11),"")</f>
        <v/>
      </c>
      <c r="J11" s="29">
        <f>IFERROR(IF(F11&gt;=参数配置!$C$12,"全仓清仓",IF(H11&gt;C11,"卖出超额","正常定投")),"")</f>
        <v/>
      </c>
      <c r="K11" s="30">
        <f>IFERROR(I11,"")</f>
        <v/>
      </c>
      <c r="L11" s="17" t="n"/>
      <c r="M11" s="27" t="n"/>
      <c r="N11" s="31">
        <f>IFERROR(G11+M11,"")</f>
        <v/>
      </c>
      <c r="O11" s="7">
        <f>IFERROR(O10+L11,"")</f>
        <v/>
      </c>
      <c r="P11" s="7">
        <f>IFERROR(-L11,"")</f>
        <v/>
      </c>
      <c r="Q11" s="32" t="n"/>
    </row>
    <row r="12">
      <c r="A12" s="33" t="n"/>
      <c r="B12" s="15" t="n"/>
      <c r="C12" s="7">
        <f>IFERROR(参数配置!$C$5*(B12-$S$3),"")</f>
        <v/>
      </c>
      <c r="D12" s="27" t="n"/>
      <c r="E12" s="27" t="n"/>
      <c r="F12" s="28">
        <f>IFERROR((D12-E12)/E12,"")</f>
        <v/>
      </c>
      <c r="G12" s="27" t="n"/>
      <c r="H12" s="7">
        <f>IFERROR(G12*D12,"")</f>
        <v/>
      </c>
      <c r="I12" s="7">
        <f>IFERROR(IF(F12&gt;=参数配置!$C$12,-H12,C12-H12),"")</f>
        <v/>
      </c>
      <c r="J12" s="29">
        <f>IFERROR(IF(F12&gt;=参数配置!$C$12,"全仓清仓",IF(H12&gt;C12,"卖出超额","正常定投")),"")</f>
        <v/>
      </c>
      <c r="K12" s="30">
        <f>IFERROR(I12,"")</f>
        <v/>
      </c>
      <c r="L12" s="17" t="n"/>
      <c r="M12" s="27" t="n"/>
      <c r="N12" s="31">
        <f>IFERROR(G12+M12,"")</f>
        <v/>
      </c>
      <c r="O12" s="7">
        <f>IFERROR(O11+L12,"")</f>
        <v/>
      </c>
      <c r="P12" s="7">
        <f>IFERROR(-L12,"")</f>
        <v/>
      </c>
      <c r="Q12" s="32" t="n"/>
    </row>
    <row r="13">
      <c r="A13" s="33" t="n"/>
      <c r="B13" s="15" t="n"/>
      <c r="C13" s="7">
        <f>IFERROR(参数配置!$C$5*(B13-$S$3),"")</f>
        <v/>
      </c>
      <c r="D13" s="27" t="n"/>
      <c r="E13" s="27" t="n"/>
      <c r="F13" s="28">
        <f>IFERROR((D13-E13)/E13,"")</f>
        <v/>
      </c>
      <c r="G13" s="27" t="n"/>
      <c r="H13" s="7">
        <f>IFERROR(G13*D13,"")</f>
        <v/>
      </c>
      <c r="I13" s="7">
        <f>IFERROR(IF(F13&gt;=参数配置!$C$12,-H13,C13-H13),"")</f>
        <v/>
      </c>
      <c r="J13" s="29">
        <f>IFERROR(IF(F13&gt;=参数配置!$C$12,"全仓清仓",IF(H13&gt;C13,"卖出超额","正常定投")),"")</f>
        <v/>
      </c>
      <c r="K13" s="30">
        <f>IFERROR(I13,"")</f>
        <v/>
      </c>
      <c r="L13" s="17" t="n"/>
      <c r="M13" s="27" t="n"/>
      <c r="N13" s="31">
        <f>IFERROR(G13+M13,"")</f>
        <v/>
      </c>
      <c r="O13" s="7">
        <f>IFERROR(O12+L13,"")</f>
        <v/>
      </c>
      <c r="P13" s="7">
        <f>IFERROR(-L13,"")</f>
        <v/>
      </c>
      <c r="Q13" s="32" t="n"/>
    </row>
    <row r="14">
      <c r="A14" s="33" t="n"/>
      <c r="B14" s="15" t="n"/>
      <c r="C14" s="7">
        <f>IFERROR(参数配置!$C$5*(B14-$S$3),"")</f>
        <v/>
      </c>
      <c r="D14" s="27" t="n"/>
      <c r="E14" s="27" t="n"/>
      <c r="F14" s="28">
        <f>IFERROR((D14-E14)/E14,"")</f>
        <v/>
      </c>
      <c r="G14" s="27" t="n"/>
      <c r="H14" s="7">
        <f>IFERROR(G14*D14,"")</f>
        <v/>
      </c>
      <c r="I14" s="7">
        <f>IFERROR(IF(F14&gt;=参数配置!$C$12,-H14,C14-H14),"")</f>
        <v/>
      </c>
      <c r="J14" s="29">
        <f>IFERROR(IF(F14&gt;=参数配置!$C$12,"全仓清仓",IF(H14&gt;C14,"卖出超额","正常定投")),"")</f>
        <v/>
      </c>
      <c r="K14" s="30">
        <f>IFERROR(I14,"")</f>
        <v/>
      </c>
      <c r="L14" s="17" t="n"/>
      <c r="M14" s="27" t="n"/>
      <c r="N14" s="31">
        <f>IFERROR(G14+M14,"")</f>
        <v/>
      </c>
      <c r="O14" s="7">
        <f>IFERROR(O13+L14,"")</f>
        <v/>
      </c>
      <c r="P14" s="7">
        <f>IFERROR(-L14,"")</f>
        <v/>
      </c>
      <c r="Q14" s="32" t="n"/>
    </row>
    <row r="15">
      <c r="A15" s="33" t="n"/>
      <c r="B15" s="15" t="n"/>
      <c r="C15" s="7">
        <f>IFERROR(参数配置!$C$5*(B15-$S$3),"")</f>
        <v/>
      </c>
      <c r="D15" s="27" t="n"/>
      <c r="E15" s="27" t="n"/>
      <c r="F15" s="28">
        <f>IFERROR((D15-E15)/E15,"")</f>
        <v/>
      </c>
      <c r="G15" s="27" t="n"/>
      <c r="H15" s="7">
        <f>IFERROR(G15*D15,"")</f>
        <v/>
      </c>
      <c r="I15" s="7">
        <f>IFERROR(IF(F15&gt;=参数配置!$C$12,-H15,C15-H15),"")</f>
        <v/>
      </c>
      <c r="J15" s="29">
        <f>IFERROR(IF(F15&gt;=参数配置!$C$12,"全仓清仓",IF(H15&gt;C15,"卖出超额","正常定投")),"")</f>
        <v/>
      </c>
      <c r="K15" s="30">
        <f>IFERROR(I15,"")</f>
        <v/>
      </c>
      <c r="L15" s="17" t="n"/>
      <c r="M15" s="27" t="n"/>
      <c r="N15" s="31">
        <f>IFERROR(G15+M15,"")</f>
        <v/>
      </c>
      <c r="O15" s="7">
        <f>IFERROR(O14+L15,"")</f>
        <v/>
      </c>
      <c r="P15" s="7">
        <f>IFERROR(-L15,"")</f>
        <v/>
      </c>
      <c r="Q15" s="32" t="n"/>
    </row>
    <row r="16">
      <c r="A16" s="33" t="n"/>
      <c r="B16" s="15" t="n"/>
      <c r="C16" s="7">
        <f>IFERROR(参数配置!$C$5*(B16-$S$3),"")</f>
        <v/>
      </c>
      <c r="D16" s="27" t="n"/>
      <c r="E16" s="27" t="n"/>
      <c r="F16" s="28">
        <f>IFERROR((D16-E16)/E16,"")</f>
        <v/>
      </c>
      <c r="G16" s="27" t="n"/>
      <c r="H16" s="7">
        <f>IFERROR(G16*D16,"")</f>
        <v/>
      </c>
      <c r="I16" s="7">
        <f>IFERROR(IF(F16&gt;=参数配置!$C$12,-H16,C16-H16),"")</f>
        <v/>
      </c>
      <c r="J16" s="29">
        <f>IFERROR(IF(F16&gt;=参数配置!$C$12,"全仓清仓",IF(H16&gt;C16,"卖出超额","正常定投")),"")</f>
        <v/>
      </c>
      <c r="K16" s="30">
        <f>IFERROR(I16,"")</f>
        <v/>
      </c>
      <c r="L16" s="17" t="n"/>
      <c r="M16" s="27" t="n"/>
      <c r="N16" s="31">
        <f>IFERROR(G16+M16,"")</f>
        <v/>
      </c>
      <c r="O16" s="7">
        <f>IFERROR(O15+L16,"")</f>
        <v/>
      </c>
      <c r="P16" s="7">
        <f>IFERROR(-L16,"")</f>
        <v/>
      </c>
      <c r="Q16" s="32" t="n"/>
    </row>
    <row r="17">
      <c r="A17" s="33" t="n"/>
      <c r="B17" s="15" t="n"/>
      <c r="C17" s="7">
        <f>IFERROR(参数配置!$C$5*(B17-$S$3),"")</f>
        <v/>
      </c>
      <c r="D17" s="27" t="n"/>
      <c r="E17" s="27" t="n"/>
      <c r="F17" s="28">
        <f>IFERROR((D17-E17)/E17,"")</f>
        <v/>
      </c>
      <c r="G17" s="27" t="n"/>
      <c r="H17" s="7">
        <f>IFERROR(G17*D17,"")</f>
        <v/>
      </c>
      <c r="I17" s="7">
        <f>IFERROR(IF(F17&gt;=参数配置!$C$12,-H17,C17-H17),"")</f>
        <v/>
      </c>
      <c r="J17" s="29">
        <f>IFERROR(IF(F17&gt;=参数配置!$C$12,"全仓清仓",IF(H17&gt;C17,"卖出超额","正常定投")),"")</f>
        <v/>
      </c>
      <c r="K17" s="30">
        <f>IFERROR(I17,"")</f>
        <v/>
      </c>
      <c r="L17" s="17" t="n"/>
      <c r="M17" s="27" t="n"/>
      <c r="N17" s="31">
        <f>IFERROR(G17+M17,"")</f>
        <v/>
      </c>
      <c r="O17" s="7">
        <f>IFERROR(O16+L17,"")</f>
        <v/>
      </c>
      <c r="P17" s="7">
        <f>IFERROR(-L17,"")</f>
        <v/>
      </c>
      <c r="Q17" s="32" t="n"/>
    </row>
    <row r="18">
      <c r="A18" s="33" t="n"/>
      <c r="B18" s="15" t="n"/>
      <c r="C18" s="7">
        <f>IFERROR(参数配置!$C$5*(B18-$S$3),"")</f>
        <v/>
      </c>
      <c r="D18" s="27" t="n"/>
      <c r="E18" s="27" t="n"/>
      <c r="F18" s="28">
        <f>IFERROR((D18-E18)/E18,"")</f>
        <v/>
      </c>
      <c r="G18" s="27" t="n"/>
      <c r="H18" s="7">
        <f>IFERROR(G18*D18,"")</f>
        <v/>
      </c>
      <c r="I18" s="7">
        <f>IFERROR(IF(F18&gt;=参数配置!$C$12,-H18,C18-H18),"")</f>
        <v/>
      </c>
      <c r="J18" s="29">
        <f>IFERROR(IF(F18&gt;=参数配置!$C$12,"全仓清仓",IF(H18&gt;C18,"卖出超额","正常定投")),"")</f>
        <v/>
      </c>
      <c r="K18" s="30">
        <f>IFERROR(I18,"")</f>
        <v/>
      </c>
      <c r="L18" s="17" t="n"/>
      <c r="M18" s="27" t="n"/>
      <c r="N18" s="31">
        <f>IFERROR(G18+M18,"")</f>
        <v/>
      </c>
      <c r="O18" s="7">
        <f>IFERROR(O17+L18,"")</f>
        <v/>
      </c>
      <c r="P18" s="7">
        <f>IFERROR(-L18,"")</f>
        <v/>
      </c>
      <c r="Q18" s="32" t="n"/>
    </row>
    <row r="19">
      <c r="A19" s="33" t="n"/>
      <c r="B19" s="15" t="n"/>
      <c r="C19" s="7">
        <f>IFERROR(参数配置!$C$5*(B19-$S$3),"")</f>
        <v/>
      </c>
      <c r="D19" s="27" t="n"/>
      <c r="E19" s="27" t="n"/>
      <c r="F19" s="28">
        <f>IFERROR((D19-E19)/E19,"")</f>
        <v/>
      </c>
      <c r="G19" s="27" t="n"/>
      <c r="H19" s="7">
        <f>IFERROR(G19*D19,"")</f>
        <v/>
      </c>
      <c r="I19" s="7">
        <f>IFERROR(IF(F19&gt;=参数配置!$C$12,-H19,C19-H19),"")</f>
        <v/>
      </c>
      <c r="J19" s="29">
        <f>IFERROR(IF(F19&gt;=参数配置!$C$12,"全仓清仓",IF(H19&gt;C19,"卖出超额","正常定投")),"")</f>
        <v/>
      </c>
      <c r="K19" s="30">
        <f>IFERROR(I19,"")</f>
        <v/>
      </c>
      <c r="L19" s="17" t="n"/>
      <c r="M19" s="27" t="n"/>
      <c r="N19" s="31">
        <f>IFERROR(G19+M19,"")</f>
        <v/>
      </c>
      <c r="O19" s="7">
        <f>IFERROR(O18+L19,"")</f>
        <v/>
      </c>
      <c r="P19" s="7">
        <f>IFERROR(-L19,"")</f>
        <v/>
      </c>
      <c r="Q19" s="32" t="n"/>
    </row>
    <row r="20">
      <c r="A20" s="33" t="n"/>
      <c r="B20" s="15" t="n"/>
      <c r="C20" s="7">
        <f>IFERROR(参数配置!$C$5*(B20-$S$3),"")</f>
        <v/>
      </c>
      <c r="D20" s="27" t="n"/>
      <c r="E20" s="27" t="n"/>
      <c r="F20" s="28">
        <f>IFERROR((D20-E20)/E20,"")</f>
        <v/>
      </c>
      <c r="G20" s="27" t="n"/>
      <c r="H20" s="7">
        <f>IFERROR(G20*D20,"")</f>
        <v/>
      </c>
      <c r="I20" s="7">
        <f>IFERROR(IF(F20&gt;=参数配置!$C$12,-H20,C20-H20),"")</f>
        <v/>
      </c>
      <c r="J20" s="29">
        <f>IFERROR(IF(F20&gt;=参数配置!$C$12,"全仓清仓",IF(H20&gt;C20,"卖出超额","正常定投")),"")</f>
        <v/>
      </c>
      <c r="K20" s="30">
        <f>IFERROR(I20,"")</f>
        <v/>
      </c>
      <c r="L20" s="17" t="n"/>
      <c r="M20" s="27" t="n"/>
      <c r="N20" s="31">
        <f>IFERROR(G20+M20,"")</f>
        <v/>
      </c>
      <c r="O20" s="7">
        <f>IFERROR(O19+L20,"")</f>
        <v/>
      </c>
      <c r="P20" s="7">
        <f>IFERROR(-L20,"")</f>
        <v/>
      </c>
      <c r="Q20" s="32" t="n"/>
    </row>
    <row r="21">
      <c r="A21" s="33" t="n"/>
      <c r="B21" s="15" t="n"/>
      <c r="C21" s="7">
        <f>IFERROR(参数配置!$C$5*(B21-$S$3),"")</f>
        <v/>
      </c>
      <c r="D21" s="27" t="n"/>
      <c r="E21" s="27" t="n"/>
      <c r="F21" s="28">
        <f>IFERROR((D21-E21)/E21,"")</f>
        <v/>
      </c>
      <c r="G21" s="27" t="n"/>
      <c r="H21" s="7">
        <f>IFERROR(G21*D21,"")</f>
        <v/>
      </c>
      <c r="I21" s="7">
        <f>IFERROR(IF(F21&gt;=参数配置!$C$12,-H21,C21-H21),"")</f>
        <v/>
      </c>
      <c r="J21" s="29">
        <f>IFERROR(IF(F21&gt;=参数配置!$C$12,"全仓清仓",IF(H21&gt;C21,"卖出超额","正常定投")),"")</f>
        <v/>
      </c>
      <c r="K21" s="30">
        <f>IFERROR(I21,"")</f>
        <v/>
      </c>
      <c r="L21" s="17" t="n"/>
      <c r="M21" s="27" t="n"/>
      <c r="N21" s="31">
        <f>IFERROR(G21+M21,"")</f>
        <v/>
      </c>
      <c r="O21" s="7">
        <f>IFERROR(O20+L21,"")</f>
        <v/>
      </c>
      <c r="P21" s="7">
        <f>IFERROR(-L21,"")</f>
        <v/>
      </c>
      <c r="Q21" s="32" t="n"/>
    </row>
    <row r="22">
      <c r="A22" s="33" t="n"/>
      <c r="B22" s="15" t="n"/>
      <c r="C22" s="7">
        <f>IFERROR(参数配置!$C$5*(B22-$S$3),"")</f>
        <v/>
      </c>
      <c r="D22" s="27" t="n"/>
      <c r="E22" s="27" t="n"/>
      <c r="F22" s="28">
        <f>IFERROR((D22-E22)/E22,"")</f>
        <v/>
      </c>
      <c r="G22" s="27" t="n"/>
      <c r="H22" s="7">
        <f>IFERROR(G22*D22,"")</f>
        <v/>
      </c>
      <c r="I22" s="7">
        <f>IFERROR(IF(F22&gt;=参数配置!$C$12,-H22,C22-H22),"")</f>
        <v/>
      </c>
      <c r="J22" s="29">
        <f>IFERROR(IF(F22&gt;=参数配置!$C$12,"全仓清仓",IF(H22&gt;C22,"卖出超额","正常定投")),"")</f>
        <v/>
      </c>
      <c r="K22" s="30">
        <f>IFERROR(I22,"")</f>
        <v/>
      </c>
      <c r="L22" s="17" t="n"/>
      <c r="M22" s="27" t="n"/>
      <c r="N22" s="31">
        <f>IFERROR(G22+M22,"")</f>
        <v/>
      </c>
      <c r="O22" s="7">
        <f>IFERROR(O21+L22,"")</f>
        <v/>
      </c>
      <c r="P22" s="7">
        <f>IFERROR(-L22,"")</f>
        <v/>
      </c>
      <c r="Q22" s="32" t="n"/>
    </row>
    <row r="23">
      <c r="A23" s="33" t="n"/>
      <c r="B23" s="15" t="n"/>
      <c r="C23" s="7">
        <f>IFERROR(参数配置!$C$5*(B23-$S$3),"")</f>
        <v/>
      </c>
      <c r="D23" s="27" t="n"/>
      <c r="E23" s="27" t="n"/>
      <c r="F23" s="28">
        <f>IFERROR((D23-E23)/E23,"")</f>
        <v/>
      </c>
      <c r="G23" s="27" t="n"/>
      <c r="H23" s="7">
        <f>IFERROR(G23*D23,"")</f>
        <v/>
      </c>
      <c r="I23" s="7">
        <f>IFERROR(IF(F23&gt;=参数配置!$C$12,-H23,C23-H23),"")</f>
        <v/>
      </c>
      <c r="J23" s="29">
        <f>IFERROR(IF(F23&gt;=参数配置!$C$12,"全仓清仓",IF(H23&gt;C23,"卖出超额","正常定投")),"")</f>
        <v/>
      </c>
      <c r="K23" s="30">
        <f>IFERROR(I23,"")</f>
        <v/>
      </c>
      <c r="L23" s="17" t="n"/>
      <c r="M23" s="27" t="n"/>
      <c r="N23" s="31">
        <f>IFERROR(G23+M23,"")</f>
        <v/>
      </c>
      <c r="O23" s="7">
        <f>IFERROR(O22+L23,"")</f>
        <v/>
      </c>
      <c r="P23" s="7">
        <f>IFERROR(-L23,"")</f>
        <v/>
      </c>
      <c r="Q23" s="32" t="n"/>
    </row>
    <row r="24">
      <c r="A24" s="33" t="n"/>
      <c r="B24" s="15" t="n"/>
      <c r="C24" s="7">
        <f>IFERROR(参数配置!$C$5*(B24-$S$3),"")</f>
        <v/>
      </c>
      <c r="D24" s="27" t="n"/>
      <c r="E24" s="27" t="n"/>
      <c r="F24" s="28">
        <f>IFERROR((D24-E24)/E24,"")</f>
        <v/>
      </c>
      <c r="G24" s="27" t="n"/>
      <c r="H24" s="7">
        <f>IFERROR(G24*D24,"")</f>
        <v/>
      </c>
      <c r="I24" s="7">
        <f>IFERROR(IF(F24&gt;=参数配置!$C$12,-H24,C24-H24),"")</f>
        <v/>
      </c>
      <c r="J24" s="29">
        <f>IFERROR(IF(F24&gt;=参数配置!$C$12,"全仓清仓",IF(H24&gt;C24,"卖出超额","正常定投")),"")</f>
        <v/>
      </c>
      <c r="K24" s="30">
        <f>IFERROR(I24,"")</f>
        <v/>
      </c>
      <c r="L24" s="17" t="n"/>
      <c r="M24" s="27" t="n"/>
      <c r="N24" s="31">
        <f>IFERROR(G24+M24,"")</f>
        <v/>
      </c>
      <c r="O24" s="7">
        <f>IFERROR(O23+L24,"")</f>
        <v/>
      </c>
      <c r="P24" s="7">
        <f>IFERROR(-L24,"")</f>
        <v/>
      </c>
      <c r="Q24" s="32" t="n"/>
    </row>
    <row r="25">
      <c r="A25" s="33" t="n"/>
      <c r="B25" s="15" t="n"/>
      <c r="C25" s="7">
        <f>IFERROR(参数配置!$C$5*(B25-$S$3),"")</f>
        <v/>
      </c>
      <c r="D25" s="27" t="n"/>
      <c r="E25" s="27" t="n"/>
      <c r="F25" s="28">
        <f>IFERROR((D25-E25)/E25,"")</f>
        <v/>
      </c>
      <c r="G25" s="27" t="n"/>
      <c r="H25" s="7">
        <f>IFERROR(G25*D25,"")</f>
        <v/>
      </c>
      <c r="I25" s="7">
        <f>IFERROR(IF(F25&gt;=参数配置!$C$12,-H25,C25-H25),"")</f>
        <v/>
      </c>
      <c r="J25" s="29">
        <f>IFERROR(IF(F25&gt;=参数配置!$C$12,"全仓清仓",IF(H25&gt;C25,"卖出超额","正常定投")),"")</f>
        <v/>
      </c>
      <c r="K25" s="30">
        <f>IFERROR(I25,"")</f>
        <v/>
      </c>
      <c r="L25" s="17" t="n"/>
      <c r="M25" s="27" t="n"/>
      <c r="N25" s="31">
        <f>IFERROR(G25+M25,"")</f>
        <v/>
      </c>
      <c r="O25" s="7">
        <f>IFERROR(O24+L25,"")</f>
        <v/>
      </c>
      <c r="P25" s="7">
        <f>IFERROR(-L25,"")</f>
        <v/>
      </c>
      <c r="Q25" s="32" t="n"/>
    </row>
    <row r="26">
      <c r="A26" s="33" t="n"/>
      <c r="B26" s="15" t="n"/>
      <c r="C26" s="7">
        <f>IFERROR(参数配置!$C$5*(B26-$S$3),"")</f>
        <v/>
      </c>
      <c r="D26" s="27" t="n"/>
      <c r="E26" s="27" t="n"/>
      <c r="F26" s="28">
        <f>IFERROR((D26-E26)/E26,"")</f>
        <v/>
      </c>
      <c r="G26" s="27" t="n"/>
      <c r="H26" s="7">
        <f>IFERROR(G26*D26,"")</f>
        <v/>
      </c>
      <c r="I26" s="7">
        <f>IFERROR(IF(F26&gt;=参数配置!$C$12,-H26,C26-H26),"")</f>
        <v/>
      </c>
      <c r="J26" s="29">
        <f>IFERROR(IF(F26&gt;=参数配置!$C$12,"全仓清仓",IF(H26&gt;C26,"卖出超额","正常定投")),"")</f>
        <v/>
      </c>
      <c r="K26" s="30">
        <f>IFERROR(I26,"")</f>
        <v/>
      </c>
      <c r="L26" s="17" t="n"/>
      <c r="M26" s="27" t="n"/>
      <c r="N26" s="31">
        <f>IFERROR(G26+M26,"")</f>
        <v/>
      </c>
      <c r="O26" s="7">
        <f>IFERROR(O25+L26,"")</f>
        <v/>
      </c>
      <c r="P26" s="7">
        <f>IFERROR(-L26,"")</f>
        <v/>
      </c>
      <c r="Q26" s="32" t="n"/>
    </row>
    <row r="27">
      <c r="A27" s="33" t="n"/>
      <c r="B27" s="15" t="n"/>
      <c r="C27" s="7">
        <f>IFERROR(参数配置!$C$5*(B27-$S$3),"")</f>
        <v/>
      </c>
      <c r="D27" s="27" t="n"/>
      <c r="E27" s="27" t="n"/>
      <c r="F27" s="28">
        <f>IFERROR((D27-E27)/E27,"")</f>
        <v/>
      </c>
      <c r="G27" s="27" t="n"/>
      <c r="H27" s="7">
        <f>IFERROR(G27*D27,"")</f>
        <v/>
      </c>
      <c r="I27" s="7">
        <f>IFERROR(IF(F27&gt;=参数配置!$C$12,-H27,C27-H27),"")</f>
        <v/>
      </c>
      <c r="J27" s="29">
        <f>IFERROR(IF(F27&gt;=参数配置!$C$12,"全仓清仓",IF(H27&gt;C27,"卖出超额","正常定投")),"")</f>
        <v/>
      </c>
      <c r="K27" s="30">
        <f>IFERROR(I27,"")</f>
        <v/>
      </c>
      <c r="L27" s="17" t="n"/>
      <c r="M27" s="27" t="n"/>
      <c r="N27" s="31">
        <f>IFERROR(G27+M27,"")</f>
        <v/>
      </c>
      <c r="O27" s="7">
        <f>IFERROR(O26+L27,"")</f>
        <v/>
      </c>
      <c r="P27" s="7">
        <f>IFERROR(-L27,"")</f>
        <v/>
      </c>
      <c r="Q27" s="32" t="n"/>
    </row>
    <row r="28">
      <c r="A28" s="33" t="n"/>
      <c r="B28" s="15" t="n"/>
      <c r="C28" s="7">
        <f>IFERROR(参数配置!$C$5*(B28-$S$3),"")</f>
        <v/>
      </c>
      <c r="D28" s="27" t="n"/>
      <c r="E28" s="27" t="n"/>
      <c r="F28" s="28">
        <f>IFERROR((D28-E28)/E28,"")</f>
        <v/>
      </c>
      <c r="G28" s="27" t="n"/>
      <c r="H28" s="7">
        <f>IFERROR(G28*D28,"")</f>
        <v/>
      </c>
      <c r="I28" s="7">
        <f>IFERROR(IF(F28&gt;=参数配置!$C$12,-H28,C28-H28),"")</f>
        <v/>
      </c>
      <c r="J28" s="29">
        <f>IFERROR(IF(F28&gt;=参数配置!$C$12,"全仓清仓",IF(H28&gt;C28,"卖出超额","正常定投")),"")</f>
        <v/>
      </c>
      <c r="K28" s="30">
        <f>IFERROR(I28,"")</f>
        <v/>
      </c>
      <c r="L28" s="17" t="n"/>
      <c r="M28" s="27" t="n"/>
      <c r="N28" s="31">
        <f>IFERROR(G28+M28,"")</f>
        <v/>
      </c>
      <c r="O28" s="7">
        <f>IFERROR(O27+L28,"")</f>
        <v/>
      </c>
      <c r="P28" s="7">
        <f>IFERROR(-L28,"")</f>
        <v/>
      </c>
      <c r="Q28" s="32" t="n"/>
    </row>
    <row r="29">
      <c r="A29" s="33" t="n"/>
      <c r="B29" s="15" t="n"/>
      <c r="C29" s="7">
        <f>IFERROR(参数配置!$C$5*(B29-$S$3),"")</f>
        <v/>
      </c>
      <c r="D29" s="27" t="n"/>
      <c r="E29" s="27" t="n"/>
      <c r="F29" s="28">
        <f>IFERROR((D29-E29)/E29,"")</f>
        <v/>
      </c>
      <c r="G29" s="27" t="n"/>
      <c r="H29" s="7">
        <f>IFERROR(G29*D29,"")</f>
        <v/>
      </c>
      <c r="I29" s="7">
        <f>IFERROR(IF(F29&gt;=参数配置!$C$12,-H29,C29-H29),"")</f>
        <v/>
      </c>
      <c r="J29" s="29">
        <f>IFERROR(IF(F29&gt;=参数配置!$C$12,"全仓清仓",IF(H29&gt;C29,"卖出超额","正常定投")),"")</f>
        <v/>
      </c>
      <c r="K29" s="30">
        <f>IFERROR(I29,"")</f>
        <v/>
      </c>
      <c r="L29" s="17" t="n"/>
      <c r="M29" s="27" t="n"/>
      <c r="N29" s="31">
        <f>IFERROR(G29+M29,"")</f>
        <v/>
      </c>
      <c r="O29" s="7">
        <f>IFERROR(O28+L29,"")</f>
        <v/>
      </c>
      <c r="P29" s="7">
        <f>IFERROR(-L29,"")</f>
        <v/>
      </c>
      <c r="Q29" s="32" t="n"/>
    </row>
    <row r="30">
      <c r="A30" s="33" t="n"/>
      <c r="B30" s="15" t="n"/>
      <c r="C30" s="7">
        <f>IFERROR(参数配置!$C$5*(B30-$S$3),"")</f>
        <v/>
      </c>
      <c r="D30" s="27" t="n"/>
      <c r="E30" s="27" t="n"/>
      <c r="F30" s="28">
        <f>IFERROR((D30-E30)/E30,"")</f>
        <v/>
      </c>
      <c r="G30" s="27" t="n"/>
      <c r="H30" s="7">
        <f>IFERROR(G30*D30,"")</f>
        <v/>
      </c>
      <c r="I30" s="7">
        <f>IFERROR(IF(F30&gt;=参数配置!$C$12,-H30,C30-H30),"")</f>
        <v/>
      </c>
      <c r="J30" s="29">
        <f>IFERROR(IF(F30&gt;=参数配置!$C$12,"全仓清仓",IF(H30&gt;C30,"卖出超额","正常定投")),"")</f>
        <v/>
      </c>
      <c r="K30" s="30">
        <f>IFERROR(I30,"")</f>
        <v/>
      </c>
      <c r="L30" s="17" t="n"/>
      <c r="M30" s="27" t="n"/>
      <c r="N30" s="31">
        <f>IFERROR(G30+M30,"")</f>
        <v/>
      </c>
      <c r="O30" s="7">
        <f>IFERROR(O29+L30,"")</f>
        <v/>
      </c>
      <c r="P30" s="7">
        <f>IFERROR(-L30,"")</f>
        <v/>
      </c>
      <c r="Q30" s="32" t="n"/>
    </row>
    <row r="31">
      <c r="A31" s="33" t="n"/>
      <c r="B31" s="15" t="n"/>
      <c r="C31" s="7">
        <f>IFERROR(参数配置!$C$5*(B31-$S$3),"")</f>
        <v/>
      </c>
      <c r="D31" s="27" t="n"/>
      <c r="E31" s="27" t="n"/>
      <c r="F31" s="28">
        <f>IFERROR((D31-E31)/E31,"")</f>
        <v/>
      </c>
      <c r="G31" s="27" t="n"/>
      <c r="H31" s="7">
        <f>IFERROR(G31*D31,"")</f>
        <v/>
      </c>
      <c r="I31" s="7">
        <f>IFERROR(IF(F31&gt;=参数配置!$C$12,-H31,C31-H31),"")</f>
        <v/>
      </c>
      <c r="J31" s="29">
        <f>IFERROR(IF(F31&gt;=参数配置!$C$12,"全仓清仓",IF(H31&gt;C31,"卖出超额","正常定投")),"")</f>
        <v/>
      </c>
      <c r="K31" s="30">
        <f>IFERROR(I31,"")</f>
        <v/>
      </c>
      <c r="L31" s="17" t="n"/>
      <c r="M31" s="27" t="n"/>
      <c r="N31" s="31">
        <f>IFERROR(G31+M31,"")</f>
        <v/>
      </c>
      <c r="O31" s="7">
        <f>IFERROR(O30+L31,"")</f>
        <v/>
      </c>
      <c r="P31" s="7">
        <f>IFERROR(-L31,"")</f>
        <v/>
      </c>
      <c r="Q31" s="32" t="n"/>
    </row>
    <row r="32">
      <c r="A32" s="33" t="n"/>
      <c r="B32" s="15" t="n"/>
      <c r="C32" s="7">
        <f>IFERROR(参数配置!$C$5*(B32-$S$3),"")</f>
        <v/>
      </c>
      <c r="D32" s="27" t="n"/>
      <c r="E32" s="27" t="n"/>
      <c r="F32" s="28">
        <f>IFERROR((D32-E32)/E32,"")</f>
        <v/>
      </c>
      <c r="G32" s="27" t="n"/>
      <c r="H32" s="7">
        <f>IFERROR(G32*D32,"")</f>
        <v/>
      </c>
      <c r="I32" s="7">
        <f>IFERROR(IF(F32&gt;=参数配置!$C$12,-H32,C32-H32),"")</f>
        <v/>
      </c>
      <c r="J32" s="29">
        <f>IFERROR(IF(F32&gt;=参数配置!$C$12,"全仓清仓",IF(H32&gt;C32,"卖出超额","正常定投")),"")</f>
        <v/>
      </c>
      <c r="K32" s="30">
        <f>IFERROR(I32,"")</f>
        <v/>
      </c>
      <c r="L32" s="17" t="n"/>
      <c r="M32" s="27" t="n"/>
      <c r="N32" s="31">
        <f>IFERROR(G32+M32,"")</f>
        <v/>
      </c>
      <c r="O32" s="7">
        <f>IFERROR(O31+L32,"")</f>
        <v/>
      </c>
      <c r="P32" s="7">
        <f>IFERROR(-L32,"")</f>
        <v/>
      </c>
      <c r="Q32" s="32" t="n"/>
    </row>
    <row r="33">
      <c r="A33" s="33" t="n"/>
      <c r="B33" s="15" t="n"/>
      <c r="C33" s="7">
        <f>IFERROR(参数配置!$C$5*(B33-$S$3),"")</f>
        <v/>
      </c>
      <c r="D33" s="27" t="n"/>
      <c r="E33" s="27" t="n"/>
      <c r="F33" s="28">
        <f>IFERROR((D33-E33)/E33,"")</f>
        <v/>
      </c>
      <c r="G33" s="27" t="n"/>
      <c r="H33" s="7">
        <f>IFERROR(G33*D33,"")</f>
        <v/>
      </c>
      <c r="I33" s="7">
        <f>IFERROR(IF(F33&gt;=参数配置!$C$12,-H33,C33-H33),"")</f>
        <v/>
      </c>
      <c r="J33" s="29">
        <f>IFERROR(IF(F33&gt;=参数配置!$C$12,"全仓清仓",IF(H33&gt;C33,"卖出超额","正常定投")),"")</f>
        <v/>
      </c>
      <c r="K33" s="30">
        <f>IFERROR(I33,"")</f>
        <v/>
      </c>
      <c r="L33" s="17" t="n"/>
      <c r="M33" s="27" t="n"/>
      <c r="N33" s="31">
        <f>IFERROR(G33+M33,"")</f>
        <v/>
      </c>
      <c r="O33" s="7">
        <f>IFERROR(O32+L33,"")</f>
        <v/>
      </c>
      <c r="P33" s="7">
        <f>IFERROR(-L33,"")</f>
        <v/>
      </c>
      <c r="Q33" s="32" t="n"/>
    </row>
    <row r="34">
      <c r="A34" s="33" t="n"/>
      <c r="B34" s="15" t="n"/>
      <c r="C34" s="7">
        <f>IFERROR(参数配置!$C$5*(B34-$S$3),"")</f>
        <v/>
      </c>
      <c r="D34" s="27" t="n"/>
      <c r="E34" s="27" t="n"/>
      <c r="F34" s="28">
        <f>IFERROR((D34-E34)/E34,"")</f>
        <v/>
      </c>
      <c r="G34" s="27" t="n"/>
      <c r="H34" s="7">
        <f>IFERROR(G34*D34,"")</f>
        <v/>
      </c>
      <c r="I34" s="7">
        <f>IFERROR(IF(F34&gt;=参数配置!$C$12,-H34,C34-H34),"")</f>
        <v/>
      </c>
      <c r="J34" s="29">
        <f>IFERROR(IF(F34&gt;=参数配置!$C$12,"全仓清仓",IF(H34&gt;C34,"卖出超额","正常定投")),"")</f>
        <v/>
      </c>
      <c r="K34" s="30">
        <f>IFERROR(I34,"")</f>
        <v/>
      </c>
      <c r="L34" s="17" t="n"/>
      <c r="M34" s="27" t="n"/>
      <c r="N34" s="31">
        <f>IFERROR(G34+M34,"")</f>
        <v/>
      </c>
      <c r="O34" s="7">
        <f>IFERROR(O33+L34,"")</f>
        <v/>
      </c>
      <c r="P34" s="7">
        <f>IFERROR(-L34,"")</f>
        <v/>
      </c>
      <c r="Q34" s="32" t="n"/>
    </row>
    <row r="35">
      <c r="A35" s="33" t="n"/>
      <c r="B35" s="15" t="n"/>
      <c r="C35" s="7">
        <f>IFERROR(参数配置!$C$5*(B35-$S$3),"")</f>
        <v/>
      </c>
      <c r="D35" s="27" t="n"/>
      <c r="E35" s="27" t="n"/>
      <c r="F35" s="28">
        <f>IFERROR((D35-E35)/E35,"")</f>
        <v/>
      </c>
      <c r="G35" s="27" t="n"/>
      <c r="H35" s="7">
        <f>IFERROR(G35*D35,"")</f>
        <v/>
      </c>
      <c r="I35" s="7">
        <f>IFERROR(IF(F35&gt;=参数配置!$C$12,-H35,C35-H35),"")</f>
        <v/>
      </c>
      <c r="J35" s="29">
        <f>IFERROR(IF(F35&gt;=参数配置!$C$12,"全仓清仓",IF(H35&gt;C35,"卖出超额","正常定投")),"")</f>
        <v/>
      </c>
      <c r="K35" s="30">
        <f>IFERROR(I35,"")</f>
        <v/>
      </c>
      <c r="L35" s="17" t="n"/>
      <c r="M35" s="27" t="n"/>
      <c r="N35" s="31">
        <f>IFERROR(G35+M35,"")</f>
        <v/>
      </c>
      <c r="O35" s="7">
        <f>IFERROR(O34+L35,"")</f>
        <v/>
      </c>
      <c r="P35" s="7">
        <f>IFERROR(-L35,"")</f>
        <v/>
      </c>
      <c r="Q35" s="32" t="n"/>
    </row>
    <row r="36">
      <c r="A36" s="33" t="n"/>
      <c r="B36" s="15" t="n"/>
      <c r="C36" s="7">
        <f>IFERROR(参数配置!$C$5*(B36-$S$3),"")</f>
        <v/>
      </c>
      <c r="D36" s="27" t="n"/>
      <c r="E36" s="27" t="n"/>
      <c r="F36" s="28">
        <f>IFERROR((D36-E36)/E36,"")</f>
        <v/>
      </c>
      <c r="G36" s="27" t="n"/>
      <c r="H36" s="7">
        <f>IFERROR(G36*D36,"")</f>
        <v/>
      </c>
      <c r="I36" s="7">
        <f>IFERROR(IF(F36&gt;=参数配置!$C$12,-H36,C36-H36),"")</f>
        <v/>
      </c>
      <c r="J36" s="29">
        <f>IFERROR(IF(F36&gt;=参数配置!$C$12,"全仓清仓",IF(H36&gt;C36,"卖出超额","正常定投")),"")</f>
        <v/>
      </c>
      <c r="K36" s="30">
        <f>IFERROR(I36,"")</f>
        <v/>
      </c>
      <c r="L36" s="17" t="n"/>
      <c r="M36" s="27" t="n"/>
      <c r="N36" s="31">
        <f>IFERROR(G36+M36,"")</f>
        <v/>
      </c>
      <c r="O36" s="7">
        <f>IFERROR(O35+L36,"")</f>
        <v/>
      </c>
      <c r="P36" s="7">
        <f>IFERROR(-L36,"")</f>
        <v/>
      </c>
      <c r="Q36" s="32" t="n"/>
    </row>
    <row r="37">
      <c r="A37" s="33" t="n"/>
      <c r="B37" s="15" t="n"/>
      <c r="C37" s="7">
        <f>IFERROR(参数配置!$C$5*(B37-$S$3),"")</f>
        <v/>
      </c>
      <c r="D37" s="27" t="n"/>
      <c r="E37" s="27" t="n"/>
      <c r="F37" s="28">
        <f>IFERROR((D37-E37)/E37,"")</f>
        <v/>
      </c>
      <c r="G37" s="27" t="n"/>
      <c r="H37" s="7">
        <f>IFERROR(G37*D37,"")</f>
        <v/>
      </c>
      <c r="I37" s="7">
        <f>IFERROR(IF(F37&gt;=参数配置!$C$12,-H37,C37-H37),"")</f>
        <v/>
      </c>
      <c r="J37" s="29">
        <f>IFERROR(IF(F37&gt;=参数配置!$C$12,"全仓清仓",IF(H37&gt;C37,"卖出超额","正常定投")),"")</f>
        <v/>
      </c>
      <c r="K37" s="30">
        <f>IFERROR(I37,"")</f>
        <v/>
      </c>
      <c r="L37" s="17" t="n"/>
      <c r="M37" s="27" t="n"/>
      <c r="N37" s="31">
        <f>IFERROR(G37+M37,"")</f>
        <v/>
      </c>
      <c r="O37" s="7">
        <f>IFERROR(O36+L37,"")</f>
        <v/>
      </c>
      <c r="P37" s="7">
        <f>IFERROR(-L37,"")</f>
        <v/>
      </c>
      <c r="Q37" s="32" t="n"/>
    </row>
    <row r="38">
      <c r="A38" s="33" t="n"/>
      <c r="B38" s="15" t="n"/>
      <c r="C38" s="7">
        <f>IFERROR(参数配置!$C$5*(B38-$S$3),"")</f>
        <v/>
      </c>
      <c r="D38" s="27" t="n"/>
      <c r="E38" s="27" t="n"/>
      <c r="F38" s="28">
        <f>IFERROR((D38-E38)/E38,"")</f>
        <v/>
      </c>
      <c r="G38" s="27" t="n"/>
      <c r="H38" s="7">
        <f>IFERROR(G38*D38,"")</f>
        <v/>
      </c>
      <c r="I38" s="7">
        <f>IFERROR(IF(F38&gt;=参数配置!$C$12,-H38,C38-H38),"")</f>
        <v/>
      </c>
      <c r="J38" s="29">
        <f>IFERROR(IF(F38&gt;=参数配置!$C$12,"全仓清仓",IF(H38&gt;C38,"卖出超额","正常定投")),"")</f>
        <v/>
      </c>
      <c r="K38" s="30">
        <f>IFERROR(I38,"")</f>
        <v/>
      </c>
      <c r="L38" s="17" t="n"/>
      <c r="M38" s="27" t="n"/>
      <c r="N38" s="31">
        <f>IFERROR(G38+M38,"")</f>
        <v/>
      </c>
      <c r="O38" s="7">
        <f>IFERROR(O37+L38,"")</f>
        <v/>
      </c>
      <c r="P38" s="7">
        <f>IFERROR(-L38,"")</f>
        <v/>
      </c>
      <c r="Q38" s="32" t="n"/>
    </row>
    <row r="39">
      <c r="A39" s="33" t="n"/>
      <c r="B39" s="15" t="n"/>
      <c r="C39" s="7">
        <f>IFERROR(参数配置!$C$5*(B39-$S$3),"")</f>
        <v/>
      </c>
      <c r="D39" s="27" t="n"/>
      <c r="E39" s="27" t="n"/>
      <c r="F39" s="28">
        <f>IFERROR((D39-E39)/E39,"")</f>
        <v/>
      </c>
      <c r="G39" s="27" t="n"/>
      <c r="H39" s="7">
        <f>IFERROR(G39*D39,"")</f>
        <v/>
      </c>
      <c r="I39" s="7">
        <f>IFERROR(IF(F39&gt;=参数配置!$C$12,-H39,C39-H39),"")</f>
        <v/>
      </c>
      <c r="J39" s="29">
        <f>IFERROR(IF(F39&gt;=参数配置!$C$12,"全仓清仓",IF(H39&gt;C39,"卖出超额","正常定投")),"")</f>
        <v/>
      </c>
      <c r="K39" s="30">
        <f>IFERROR(I39,"")</f>
        <v/>
      </c>
      <c r="L39" s="17" t="n"/>
      <c r="M39" s="27" t="n"/>
      <c r="N39" s="31">
        <f>IFERROR(G39+M39,"")</f>
        <v/>
      </c>
      <c r="O39" s="7">
        <f>IFERROR(O38+L39,"")</f>
        <v/>
      </c>
      <c r="P39" s="7">
        <f>IFERROR(-L39,"")</f>
        <v/>
      </c>
      <c r="Q39" s="32" t="n"/>
    </row>
    <row r="40">
      <c r="A40" s="33" t="n"/>
      <c r="B40" s="15" t="n"/>
      <c r="C40" s="7">
        <f>IFERROR(参数配置!$C$5*(B40-$S$3),"")</f>
        <v/>
      </c>
      <c r="D40" s="27" t="n"/>
      <c r="E40" s="27" t="n"/>
      <c r="F40" s="28">
        <f>IFERROR((D40-E40)/E40,"")</f>
        <v/>
      </c>
      <c r="G40" s="27" t="n"/>
      <c r="H40" s="7">
        <f>IFERROR(G40*D40,"")</f>
        <v/>
      </c>
      <c r="I40" s="7">
        <f>IFERROR(IF(F40&gt;=参数配置!$C$12,-H40,C40-H40),"")</f>
        <v/>
      </c>
      <c r="J40" s="29">
        <f>IFERROR(IF(F40&gt;=参数配置!$C$12,"全仓清仓",IF(H40&gt;C40,"卖出超额","正常定投")),"")</f>
        <v/>
      </c>
      <c r="K40" s="30">
        <f>IFERROR(I40,"")</f>
        <v/>
      </c>
      <c r="L40" s="17" t="n"/>
      <c r="M40" s="27" t="n"/>
      <c r="N40" s="31">
        <f>IFERROR(G40+M40,"")</f>
        <v/>
      </c>
      <c r="O40" s="7">
        <f>IFERROR(O39+L40,"")</f>
        <v/>
      </c>
      <c r="P40" s="7">
        <f>IFERROR(-L40,"")</f>
        <v/>
      </c>
      <c r="Q40" s="32" t="n"/>
    </row>
    <row r="41">
      <c r="A41" s="33" t="n"/>
      <c r="B41" s="15" t="n"/>
      <c r="C41" s="7">
        <f>IFERROR(参数配置!$C$5*(B41-$S$3),"")</f>
        <v/>
      </c>
      <c r="D41" s="27" t="n"/>
      <c r="E41" s="27" t="n"/>
      <c r="F41" s="28">
        <f>IFERROR((D41-E41)/E41,"")</f>
        <v/>
      </c>
      <c r="G41" s="27" t="n"/>
      <c r="H41" s="7">
        <f>IFERROR(G41*D41,"")</f>
        <v/>
      </c>
      <c r="I41" s="7">
        <f>IFERROR(IF(F41&gt;=参数配置!$C$12,-H41,C41-H41),"")</f>
        <v/>
      </c>
      <c r="J41" s="29">
        <f>IFERROR(IF(F41&gt;=参数配置!$C$12,"全仓清仓",IF(H41&gt;C41,"卖出超额","正常定投")),"")</f>
        <v/>
      </c>
      <c r="K41" s="30">
        <f>IFERROR(I41,"")</f>
        <v/>
      </c>
      <c r="L41" s="17" t="n"/>
      <c r="M41" s="27" t="n"/>
      <c r="N41" s="31">
        <f>IFERROR(G41+M41,"")</f>
        <v/>
      </c>
      <c r="O41" s="7">
        <f>IFERROR(O40+L41,"")</f>
        <v/>
      </c>
      <c r="P41" s="7">
        <f>IFERROR(-L41,"")</f>
        <v/>
      </c>
      <c r="Q41" s="32" t="n"/>
    </row>
    <row r="42">
      <c r="A42" s="33" t="n"/>
      <c r="B42" s="15" t="n"/>
      <c r="C42" s="7">
        <f>IFERROR(参数配置!$C$5*(B42-$S$3),"")</f>
        <v/>
      </c>
      <c r="D42" s="27" t="n"/>
      <c r="E42" s="27" t="n"/>
      <c r="F42" s="28">
        <f>IFERROR((D42-E42)/E42,"")</f>
        <v/>
      </c>
      <c r="G42" s="27" t="n"/>
      <c r="H42" s="7">
        <f>IFERROR(G42*D42,"")</f>
        <v/>
      </c>
      <c r="I42" s="7">
        <f>IFERROR(IF(F42&gt;=参数配置!$C$12,-H42,C42-H42),"")</f>
        <v/>
      </c>
      <c r="J42" s="29">
        <f>IFERROR(IF(F42&gt;=参数配置!$C$12,"全仓清仓",IF(H42&gt;C42,"卖出超额","正常定投")),"")</f>
        <v/>
      </c>
      <c r="K42" s="30">
        <f>IFERROR(I42,"")</f>
        <v/>
      </c>
      <c r="L42" s="17" t="n"/>
      <c r="M42" s="27" t="n"/>
      <c r="N42" s="31">
        <f>IFERROR(G42+M42,"")</f>
        <v/>
      </c>
      <c r="O42" s="7">
        <f>IFERROR(O41+L42,"")</f>
        <v/>
      </c>
      <c r="P42" s="7">
        <f>IFERROR(-L42,"")</f>
        <v/>
      </c>
      <c r="Q42" s="32" t="n"/>
    </row>
    <row r="43">
      <c r="A43" s="33" t="n"/>
      <c r="B43" s="15" t="n"/>
      <c r="C43" s="7">
        <f>IFERROR(参数配置!$C$5*(B43-$S$3),"")</f>
        <v/>
      </c>
      <c r="D43" s="27" t="n"/>
      <c r="E43" s="27" t="n"/>
      <c r="F43" s="28">
        <f>IFERROR((D43-E43)/E43,"")</f>
        <v/>
      </c>
      <c r="G43" s="27" t="n"/>
      <c r="H43" s="7">
        <f>IFERROR(G43*D43,"")</f>
        <v/>
      </c>
      <c r="I43" s="7">
        <f>IFERROR(IF(F43&gt;=参数配置!$C$12,-H43,C43-H43),"")</f>
        <v/>
      </c>
      <c r="J43" s="29">
        <f>IFERROR(IF(F43&gt;=参数配置!$C$12,"全仓清仓",IF(H43&gt;C43,"卖出超额","正常定投")),"")</f>
        <v/>
      </c>
      <c r="K43" s="30">
        <f>IFERROR(I43,"")</f>
        <v/>
      </c>
      <c r="L43" s="17" t="n"/>
      <c r="M43" s="27" t="n"/>
      <c r="N43" s="31">
        <f>IFERROR(G43+M43,"")</f>
        <v/>
      </c>
      <c r="O43" s="7">
        <f>IFERROR(O42+L43,"")</f>
        <v/>
      </c>
      <c r="P43" s="7">
        <f>IFERROR(-L43,"")</f>
        <v/>
      </c>
      <c r="Q43" s="32" t="n"/>
    </row>
    <row r="44">
      <c r="A44" s="33" t="n"/>
      <c r="B44" s="15" t="n"/>
      <c r="C44" s="7">
        <f>IFERROR(参数配置!$C$5*(B44-$S$3),"")</f>
        <v/>
      </c>
      <c r="D44" s="27" t="n"/>
      <c r="E44" s="27" t="n"/>
      <c r="F44" s="28">
        <f>IFERROR((D44-E44)/E44,"")</f>
        <v/>
      </c>
      <c r="G44" s="27" t="n"/>
      <c r="H44" s="7">
        <f>IFERROR(G44*D44,"")</f>
        <v/>
      </c>
      <c r="I44" s="7">
        <f>IFERROR(IF(F44&gt;=参数配置!$C$12,-H44,C44-H44),"")</f>
        <v/>
      </c>
      <c r="J44" s="29">
        <f>IFERROR(IF(F44&gt;=参数配置!$C$12,"全仓清仓",IF(H44&gt;C44,"卖出超额","正常定投")),"")</f>
        <v/>
      </c>
      <c r="K44" s="30">
        <f>IFERROR(I44,"")</f>
        <v/>
      </c>
      <c r="L44" s="17" t="n"/>
      <c r="M44" s="27" t="n"/>
      <c r="N44" s="31">
        <f>IFERROR(G44+M44,"")</f>
        <v/>
      </c>
      <c r="O44" s="7">
        <f>IFERROR(O43+L44,"")</f>
        <v/>
      </c>
      <c r="P44" s="7">
        <f>IFERROR(-L44,"")</f>
        <v/>
      </c>
      <c r="Q44" s="32" t="n"/>
    </row>
    <row r="45">
      <c r="A45" s="33" t="n"/>
      <c r="B45" s="15" t="n"/>
      <c r="C45" s="7">
        <f>IFERROR(参数配置!$C$5*(B45-$S$3),"")</f>
        <v/>
      </c>
      <c r="D45" s="27" t="n"/>
      <c r="E45" s="27" t="n"/>
      <c r="F45" s="28">
        <f>IFERROR((D45-E45)/E45,"")</f>
        <v/>
      </c>
      <c r="G45" s="27" t="n"/>
      <c r="H45" s="7">
        <f>IFERROR(G45*D45,"")</f>
        <v/>
      </c>
      <c r="I45" s="7">
        <f>IFERROR(IF(F45&gt;=参数配置!$C$12,-H45,C45-H45),"")</f>
        <v/>
      </c>
      <c r="J45" s="29">
        <f>IFERROR(IF(F45&gt;=参数配置!$C$12,"全仓清仓",IF(H45&gt;C45,"卖出超额","正常定投")),"")</f>
        <v/>
      </c>
      <c r="K45" s="30">
        <f>IFERROR(I45,"")</f>
        <v/>
      </c>
      <c r="L45" s="17" t="n"/>
      <c r="M45" s="27" t="n"/>
      <c r="N45" s="31">
        <f>IFERROR(G45+M45,"")</f>
        <v/>
      </c>
      <c r="O45" s="7">
        <f>IFERROR(O44+L45,"")</f>
        <v/>
      </c>
      <c r="P45" s="7">
        <f>IFERROR(-L45,"")</f>
        <v/>
      </c>
      <c r="Q45" s="32" t="n"/>
    </row>
    <row r="46">
      <c r="A46" s="33" t="n"/>
      <c r="B46" s="15" t="n"/>
      <c r="C46" s="7">
        <f>IFERROR(参数配置!$C$5*(B46-$S$3),"")</f>
        <v/>
      </c>
      <c r="D46" s="27" t="n"/>
      <c r="E46" s="27" t="n"/>
      <c r="F46" s="28">
        <f>IFERROR((D46-E46)/E46,"")</f>
        <v/>
      </c>
      <c r="G46" s="27" t="n"/>
      <c r="H46" s="7">
        <f>IFERROR(G46*D46,"")</f>
        <v/>
      </c>
      <c r="I46" s="7">
        <f>IFERROR(IF(F46&gt;=参数配置!$C$12,-H46,C46-H46),"")</f>
        <v/>
      </c>
      <c r="J46" s="29">
        <f>IFERROR(IF(F46&gt;=参数配置!$C$12,"全仓清仓",IF(H46&gt;C46,"卖出超额","正常定投")),"")</f>
        <v/>
      </c>
      <c r="K46" s="30">
        <f>IFERROR(I46,"")</f>
        <v/>
      </c>
      <c r="L46" s="17" t="n"/>
      <c r="M46" s="27" t="n"/>
      <c r="N46" s="31">
        <f>IFERROR(G46+M46,"")</f>
        <v/>
      </c>
      <c r="O46" s="7">
        <f>IFERROR(O45+L46,"")</f>
        <v/>
      </c>
      <c r="P46" s="7">
        <f>IFERROR(-L46,"")</f>
        <v/>
      </c>
      <c r="Q46" s="32" t="n"/>
    </row>
    <row r="47">
      <c r="A47" s="33" t="n"/>
      <c r="B47" s="15" t="n"/>
      <c r="C47" s="7">
        <f>IFERROR(参数配置!$C$5*(B47-$S$3),"")</f>
        <v/>
      </c>
      <c r="D47" s="27" t="n"/>
      <c r="E47" s="27" t="n"/>
      <c r="F47" s="28">
        <f>IFERROR((D47-E47)/E47,"")</f>
        <v/>
      </c>
      <c r="G47" s="27" t="n"/>
      <c r="H47" s="7">
        <f>IFERROR(G47*D47,"")</f>
        <v/>
      </c>
      <c r="I47" s="7">
        <f>IFERROR(IF(F47&gt;=参数配置!$C$12,-H47,C47-H47),"")</f>
        <v/>
      </c>
      <c r="J47" s="29">
        <f>IFERROR(IF(F47&gt;=参数配置!$C$12,"全仓清仓",IF(H47&gt;C47,"卖出超额","正常定投")),"")</f>
        <v/>
      </c>
      <c r="K47" s="30">
        <f>IFERROR(I47,"")</f>
        <v/>
      </c>
      <c r="L47" s="17" t="n"/>
      <c r="M47" s="27" t="n"/>
      <c r="N47" s="31">
        <f>IFERROR(G47+M47,"")</f>
        <v/>
      </c>
      <c r="O47" s="7">
        <f>IFERROR(O46+L47,"")</f>
        <v/>
      </c>
      <c r="P47" s="7">
        <f>IFERROR(-L47,"")</f>
        <v/>
      </c>
      <c r="Q47" s="32" t="n"/>
    </row>
    <row r="48">
      <c r="A48" s="33" t="n"/>
      <c r="B48" s="15" t="n"/>
      <c r="C48" s="7">
        <f>IFERROR(参数配置!$C$5*(B48-$S$3),"")</f>
        <v/>
      </c>
      <c r="D48" s="27" t="n"/>
      <c r="E48" s="27" t="n"/>
      <c r="F48" s="28">
        <f>IFERROR((D48-E48)/E48,"")</f>
        <v/>
      </c>
      <c r="G48" s="27" t="n"/>
      <c r="H48" s="7">
        <f>IFERROR(G48*D48,"")</f>
        <v/>
      </c>
      <c r="I48" s="7">
        <f>IFERROR(IF(F48&gt;=参数配置!$C$12,-H48,C48-H48),"")</f>
        <v/>
      </c>
      <c r="J48" s="29">
        <f>IFERROR(IF(F48&gt;=参数配置!$C$12,"全仓清仓",IF(H48&gt;C48,"卖出超额","正常定投")),"")</f>
        <v/>
      </c>
      <c r="K48" s="30">
        <f>IFERROR(I48,"")</f>
        <v/>
      </c>
      <c r="L48" s="17" t="n"/>
      <c r="M48" s="27" t="n"/>
      <c r="N48" s="31">
        <f>IFERROR(G48+M48,"")</f>
        <v/>
      </c>
      <c r="O48" s="7">
        <f>IFERROR(O47+L48,"")</f>
        <v/>
      </c>
      <c r="P48" s="7">
        <f>IFERROR(-L48,"")</f>
        <v/>
      </c>
      <c r="Q48" s="32" t="n"/>
    </row>
    <row r="49">
      <c r="A49" s="33" t="n"/>
      <c r="B49" s="15" t="n"/>
      <c r="C49" s="7">
        <f>IFERROR(参数配置!$C$5*(B49-$S$3),"")</f>
        <v/>
      </c>
      <c r="D49" s="27" t="n"/>
      <c r="E49" s="27" t="n"/>
      <c r="F49" s="28">
        <f>IFERROR((D49-E49)/E49,"")</f>
        <v/>
      </c>
      <c r="G49" s="27" t="n"/>
      <c r="H49" s="7">
        <f>IFERROR(G49*D49,"")</f>
        <v/>
      </c>
      <c r="I49" s="7">
        <f>IFERROR(IF(F49&gt;=参数配置!$C$12,-H49,C49-H49),"")</f>
        <v/>
      </c>
      <c r="J49" s="29">
        <f>IFERROR(IF(F49&gt;=参数配置!$C$12,"全仓清仓",IF(H49&gt;C49,"卖出超额","正常定投")),"")</f>
        <v/>
      </c>
      <c r="K49" s="30">
        <f>IFERROR(I49,"")</f>
        <v/>
      </c>
      <c r="L49" s="17" t="n"/>
      <c r="M49" s="27" t="n"/>
      <c r="N49" s="31">
        <f>IFERROR(G49+M49,"")</f>
        <v/>
      </c>
      <c r="O49" s="7">
        <f>IFERROR(O48+L49,"")</f>
        <v/>
      </c>
      <c r="P49" s="7">
        <f>IFERROR(-L49,"")</f>
        <v/>
      </c>
      <c r="Q49" s="32" t="n"/>
    </row>
    <row r="50">
      <c r="A50" s="33" t="n"/>
      <c r="B50" s="15" t="n"/>
      <c r="C50" s="7">
        <f>IFERROR(参数配置!$C$5*(B50-$S$3),"")</f>
        <v/>
      </c>
      <c r="D50" s="27" t="n"/>
      <c r="E50" s="27" t="n"/>
      <c r="F50" s="28">
        <f>IFERROR((D50-E50)/E50,"")</f>
        <v/>
      </c>
      <c r="G50" s="27" t="n"/>
      <c r="H50" s="7">
        <f>IFERROR(G50*D50,"")</f>
        <v/>
      </c>
      <c r="I50" s="7">
        <f>IFERROR(IF(F50&gt;=参数配置!$C$12,-H50,C50-H50),"")</f>
        <v/>
      </c>
      <c r="J50" s="29">
        <f>IFERROR(IF(F50&gt;=参数配置!$C$12,"全仓清仓",IF(H50&gt;C50,"卖出超额","正常定投")),"")</f>
        <v/>
      </c>
      <c r="K50" s="30">
        <f>IFERROR(I50,"")</f>
        <v/>
      </c>
      <c r="L50" s="17" t="n"/>
      <c r="M50" s="27" t="n"/>
      <c r="N50" s="31">
        <f>IFERROR(G50+M50,"")</f>
        <v/>
      </c>
      <c r="O50" s="7">
        <f>IFERROR(O49+L50,"")</f>
        <v/>
      </c>
      <c r="P50" s="7">
        <f>IFERROR(-L50,"")</f>
        <v/>
      </c>
      <c r="Q50" s="32" t="n"/>
    </row>
    <row r="51">
      <c r="A51" s="33" t="n"/>
      <c r="B51" s="15" t="n"/>
      <c r="C51" s="7">
        <f>IFERROR(参数配置!$C$5*(B51-$S$3),"")</f>
        <v/>
      </c>
      <c r="D51" s="27" t="n"/>
      <c r="E51" s="27" t="n"/>
      <c r="F51" s="28">
        <f>IFERROR((D51-E51)/E51,"")</f>
        <v/>
      </c>
      <c r="G51" s="27" t="n"/>
      <c r="H51" s="7">
        <f>IFERROR(G51*D51,"")</f>
        <v/>
      </c>
      <c r="I51" s="7">
        <f>IFERROR(IF(F51&gt;=参数配置!$C$12,-H51,C51-H51),"")</f>
        <v/>
      </c>
      <c r="J51" s="29">
        <f>IFERROR(IF(F51&gt;=参数配置!$C$12,"全仓清仓",IF(H51&gt;C51,"卖出超额","正常定投")),"")</f>
        <v/>
      </c>
      <c r="K51" s="30">
        <f>IFERROR(I51,"")</f>
        <v/>
      </c>
      <c r="L51" s="17" t="n"/>
      <c r="M51" s="27" t="n"/>
      <c r="N51" s="31">
        <f>IFERROR(G51+M51,"")</f>
        <v/>
      </c>
      <c r="O51" s="7">
        <f>IFERROR(O50+L51,"")</f>
        <v/>
      </c>
      <c r="P51" s="7">
        <f>IFERROR(-L51,"")</f>
        <v/>
      </c>
      <c r="Q51" s="32" t="n"/>
    </row>
    <row r="52">
      <c r="A52" s="33" t="n"/>
      <c r="B52" s="15" t="n"/>
      <c r="C52" s="7">
        <f>IFERROR(参数配置!$C$5*(B52-$S$3),"")</f>
        <v/>
      </c>
      <c r="D52" s="27" t="n"/>
      <c r="E52" s="27" t="n"/>
      <c r="F52" s="28">
        <f>IFERROR((D52-E52)/E52,"")</f>
        <v/>
      </c>
      <c r="G52" s="27" t="n"/>
      <c r="H52" s="7">
        <f>IFERROR(G52*D52,"")</f>
        <v/>
      </c>
      <c r="I52" s="7">
        <f>IFERROR(IF(F52&gt;=参数配置!$C$12,-H52,C52-H52),"")</f>
        <v/>
      </c>
      <c r="J52" s="29">
        <f>IFERROR(IF(F52&gt;=参数配置!$C$12,"全仓清仓",IF(H52&gt;C52,"卖出超额","正常定投")),"")</f>
        <v/>
      </c>
      <c r="K52" s="30">
        <f>IFERROR(I52,"")</f>
        <v/>
      </c>
      <c r="L52" s="17" t="n"/>
      <c r="M52" s="27" t="n"/>
      <c r="N52" s="31">
        <f>IFERROR(G52+M52,"")</f>
        <v/>
      </c>
      <c r="O52" s="7">
        <f>IFERROR(O51+L52,"")</f>
        <v/>
      </c>
      <c r="P52" s="7">
        <f>IFERROR(-L52,"")</f>
        <v/>
      </c>
      <c r="Q52" s="32" t="n"/>
    </row>
    <row r="53">
      <c r="A53" s="33" t="n"/>
      <c r="B53" s="15" t="n"/>
      <c r="C53" s="7">
        <f>IFERROR(参数配置!$C$5*(B53-$S$3),"")</f>
        <v/>
      </c>
      <c r="D53" s="27" t="n"/>
      <c r="E53" s="27" t="n"/>
      <c r="F53" s="28">
        <f>IFERROR((D53-E53)/E53,"")</f>
        <v/>
      </c>
      <c r="G53" s="27" t="n"/>
      <c r="H53" s="7">
        <f>IFERROR(G53*D53,"")</f>
        <v/>
      </c>
      <c r="I53" s="7">
        <f>IFERROR(IF(F53&gt;=参数配置!$C$12,-H53,C53-H53),"")</f>
        <v/>
      </c>
      <c r="J53" s="29">
        <f>IFERROR(IF(F53&gt;=参数配置!$C$12,"全仓清仓",IF(H53&gt;C53,"卖出超额","正常定投")),"")</f>
        <v/>
      </c>
      <c r="K53" s="30">
        <f>IFERROR(I53,"")</f>
        <v/>
      </c>
      <c r="L53" s="17" t="n"/>
      <c r="M53" s="27" t="n"/>
      <c r="N53" s="31">
        <f>IFERROR(G53+M53,"")</f>
        <v/>
      </c>
      <c r="O53" s="7">
        <f>IFERROR(O52+L53,"")</f>
        <v/>
      </c>
      <c r="P53" s="7">
        <f>IFERROR(-L53,"")</f>
        <v/>
      </c>
      <c r="Q53" s="32" t="n"/>
    </row>
    <row r="54">
      <c r="A54" s="33" t="n"/>
      <c r="B54" s="15" t="n"/>
      <c r="C54" s="7">
        <f>IFERROR(参数配置!$C$5*(B54-$S$3),"")</f>
        <v/>
      </c>
      <c r="D54" s="27" t="n"/>
      <c r="E54" s="27" t="n"/>
      <c r="F54" s="28">
        <f>IFERROR((D54-E54)/E54,"")</f>
        <v/>
      </c>
      <c r="G54" s="27" t="n"/>
      <c r="H54" s="7">
        <f>IFERROR(G54*D54,"")</f>
        <v/>
      </c>
      <c r="I54" s="7">
        <f>IFERROR(IF(F54&gt;=参数配置!$C$12,-H54,C54-H54),"")</f>
        <v/>
      </c>
      <c r="J54" s="29">
        <f>IFERROR(IF(F54&gt;=参数配置!$C$12,"全仓清仓",IF(H54&gt;C54,"卖出超额","正常定投")),"")</f>
        <v/>
      </c>
      <c r="K54" s="30">
        <f>IFERROR(I54,"")</f>
        <v/>
      </c>
      <c r="L54" s="17" t="n"/>
      <c r="M54" s="27" t="n"/>
      <c r="N54" s="31">
        <f>IFERROR(G54+M54,"")</f>
        <v/>
      </c>
      <c r="O54" s="7">
        <f>IFERROR(O53+L54,"")</f>
        <v/>
      </c>
      <c r="P54" s="7">
        <f>IFERROR(-L54,"")</f>
        <v/>
      </c>
      <c r="Q54" s="32" t="n"/>
    </row>
    <row r="55">
      <c r="A55" s="33" t="n"/>
      <c r="B55" s="15" t="n"/>
      <c r="C55" s="7">
        <f>IFERROR(参数配置!$C$5*(B55-$S$3),"")</f>
        <v/>
      </c>
      <c r="D55" s="27" t="n"/>
      <c r="E55" s="27" t="n"/>
      <c r="F55" s="28">
        <f>IFERROR((D55-E55)/E55,"")</f>
        <v/>
      </c>
      <c r="G55" s="27" t="n"/>
      <c r="H55" s="7">
        <f>IFERROR(G55*D55,"")</f>
        <v/>
      </c>
      <c r="I55" s="7">
        <f>IFERROR(IF(F55&gt;=参数配置!$C$12,-H55,C55-H55),"")</f>
        <v/>
      </c>
      <c r="J55" s="29">
        <f>IFERROR(IF(F55&gt;=参数配置!$C$12,"全仓清仓",IF(H55&gt;C55,"卖出超额","正常定投")),"")</f>
        <v/>
      </c>
      <c r="K55" s="30">
        <f>IFERROR(I55,"")</f>
        <v/>
      </c>
      <c r="L55" s="17" t="n"/>
      <c r="M55" s="27" t="n"/>
      <c r="N55" s="31">
        <f>IFERROR(G55+M55,"")</f>
        <v/>
      </c>
      <c r="O55" s="7">
        <f>IFERROR(O54+L55,"")</f>
        <v/>
      </c>
      <c r="P55" s="7">
        <f>IFERROR(-L55,"")</f>
        <v/>
      </c>
      <c r="Q55" s="32" t="n"/>
    </row>
    <row r="56">
      <c r="A56" s="33" t="n"/>
      <c r="B56" s="15" t="n"/>
      <c r="C56" s="7">
        <f>IFERROR(参数配置!$C$5*(B56-$S$3),"")</f>
        <v/>
      </c>
      <c r="D56" s="27" t="n"/>
      <c r="E56" s="27" t="n"/>
      <c r="F56" s="28">
        <f>IFERROR((D56-E56)/E56,"")</f>
        <v/>
      </c>
      <c r="G56" s="27" t="n"/>
      <c r="H56" s="7">
        <f>IFERROR(G56*D56,"")</f>
        <v/>
      </c>
      <c r="I56" s="7">
        <f>IFERROR(IF(F56&gt;=参数配置!$C$12,-H56,C56-H56),"")</f>
        <v/>
      </c>
      <c r="J56" s="29">
        <f>IFERROR(IF(F56&gt;=参数配置!$C$12,"全仓清仓",IF(H56&gt;C56,"卖出超额","正常定投")),"")</f>
        <v/>
      </c>
      <c r="K56" s="30">
        <f>IFERROR(I56,"")</f>
        <v/>
      </c>
      <c r="L56" s="17" t="n"/>
      <c r="M56" s="27" t="n"/>
      <c r="N56" s="31">
        <f>IFERROR(G56+M56,"")</f>
        <v/>
      </c>
      <c r="O56" s="7">
        <f>IFERROR(O55+L56,"")</f>
        <v/>
      </c>
      <c r="P56" s="7">
        <f>IFERROR(-L56,"")</f>
        <v/>
      </c>
      <c r="Q56" s="32" t="n"/>
    </row>
    <row r="57">
      <c r="A57" s="33" t="n"/>
      <c r="B57" s="15" t="n"/>
      <c r="C57" s="7">
        <f>IFERROR(参数配置!$C$5*(B57-$S$3),"")</f>
        <v/>
      </c>
      <c r="D57" s="27" t="n"/>
      <c r="E57" s="27" t="n"/>
      <c r="F57" s="28">
        <f>IFERROR((D57-E57)/E57,"")</f>
        <v/>
      </c>
      <c r="G57" s="27" t="n"/>
      <c r="H57" s="7">
        <f>IFERROR(G57*D57,"")</f>
        <v/>
      </c>
      <c r="I57" s="7">
        <f>IFERROR(IF(F57&gt;=参数配置!$C$12,-H57,C57-H57),"")</f>
        <v/>
      </c>
      <c r="J57" s="29">
        <f>IFERROR(IF(F57&gt;=参数配置!$C$12,"全仓清仓",IF(H57&gt;C57,"卖出超额","正常定投")),"")</f>
        <v/>
      </c>
      <c r="K57" s="30">
        <f>IFERROR(I57,"")</f>
        <v/>
      </c>
      <c r="L57" s="17" t="n"/>
      <c r="M57" s="27" t="n"/>
      <c r="N57" s="31">
        <f>IFERROR(G57+M57,"")</f>
        <v/>
      </c>
      <c r="O57" s="7">
        <f>IFERROR(O56+L57,"")</f>
        <v/>
      </c>
      <c r="P57" s="7">
        <f>IFERROR(-L57,"")</f>
        <v/>
      </c>
      <c r="Q57" s="32" t="n"/>
    </row>
    <row r="58">
      <c r="A58" s="33" t="n"/>
      <c r="B58" s="15" t="n"/>
      <c r="C58" s="7">
        <f>IFERROR(参数配置!$C$5*(B58-$S$3),"")</f>
        <v/>
      </c>
      <c r="D58" s="27" t="n"/>
      <c r="E58" s="27" t="n"/>
      <c r="F58" s="28">
        <f>IFERROR((D58-E58)/E58,"")</f>
        <v/>
      </c>
      <c r="G58" s="27" t="n"/>
      <c r="H58" s="7">
        <f>IFERROR(G58*D58,"")</f>
        <v/>
      </c>
      <c r="I58" s="7">
        <f>IFERROR(IF(F58&gt;=参数配置!$C$12,-H58,C58-H58),"")</f>
        <v/>
      </c>
      <c r="J58" s="29">
        <f>IFERROR(IF(F58&gt;=参数配置!$C$12,"全仓清仓",IF(H58&gt;C58,"卖出超额","正常定投")),"")</f>
        <v/>
      </c>
      <c r="K58" s="30">
        <f>IFERROR(I58,"")</f>
        <v/>
      </c>
      <c r="L58" s="17" t="n"/>
      <c r="M58" s="27" t="n"/>
      <c r="N58" s="31">
        <f>IFERROR(G58+M58,"")</f>
        <v/>
      </c>
      <c r="O58" s="7">
        <f>IFERROR(O57+L58,"")</f>
        <v/>
      </c>
      <c r="P58" s="7">
        <f>IFERROR(-L58,"")</f>
        <v/>
      </c>
      <c r="Q58" s="32" t="n"/>
    </row>
    <row r="59">
      <c r="A59" s="33" t="n"/>
      <c r="B59" s="15" t="n"/>
      <c r="C59" s="7">
        <f>IFERROR(参数配置!$C$5*(B59-$S$3),"")</f>
        <v/>
      </c>
      <c r="D59" s="27" t="n"/>
      <c r="E59" s="27" t="n"/>
      <c r="F59" s="28">
        <f>IFERROR((D59-E59)/E59,"")</f>
        <v/>
      </c>
      <c r="G59" s="27" t="n"/>
      <c r="H59" s="7">
        <f>IFERROR(G59*D59,"")</f>
        <v/>
      </c>
      <c r="I59" s="7">
        <f>IFERROR(IF(F59&gt;=参数配置!$C$12,-H59,C59-H59),"")</f>
        <v/>
      </c>
      <c r="J59" s="29">
        <f>IFERROR(IF(F59&gt;=参数配置!$C$12,"全仓清仓",IF(H59&gt;C59,"卖出超额","正常定投")),"")</f>
        <v/>
      </c>
      <c r="K59" s="30">
        <f>IFERROR(I59,"")</f>
        <v/>
      </c>
      <c r="L59" s="17" t="n"/>
      <c r="M59" s="27" t="n"/>
      <c r="N59" s="31">
        <f>IFERROR(G59+M59,"")</f>
        <v/>
      </c>
      <c r="O59" s="7">
        <f>IFERROR(O58+L59,"")</f>
        <v/>
      </c>
      <c r="P59" s="7">
        <f>IFERROR(-L59,"")</f>
        <v/>
      </c>
      <c r="Q59" s="32" t="n"/>
    </row>
    <row r="60">
      <c r="A60" s="33" t="n"/>
      <c r="B60" s="15" t="n"/>
      <c r="C60" s="7">
        <f>IFERROR(参数配置!$C$5*(B60-$S$3),"")</f>
        <v/>
      </c>
      <c r="D60" s="27" t="n"/>
      <c r="E60" s="27" t="n"/>
      <c r="F60" s="28">
        <f>IFERROR((D60-E60)/E60,"")</f>
        <v/>
      </c>
      <c r="G60" s="27" t="n"/>
      <c r="H60" s="7">
        <f>IFERROR(G60*D60,"")</f>
        <v/>
      </c>
      <c r="I60" s="7">
        <f>IFERROR(IF(F60&gt;=参数配置!$C$12,-H60,C60-H60),"")</f>
        <v/>
      </c>
      <c r="J60" s="29">
        <f>IFERROR(IF(F60&gt;=参数配置!$C$12,"全仓清仓",IF(H60&gt;C60,"卖出超额","正常定投")),"")</f>
        <v/>
      </c>
      <c r="K60" s="30">
        <f>IFERROR(I60,"")</f>
        <v/>
      </c>
      <c r="L60" s="17" t="n"/>
      <c r="M60" s="27" t="n"/>
      <c r="N60" s="31">
        <f>IFERROR(G60+M60,"")</f>
        <v/>
      </c>
      <c r="O60" s="7">
        <f>IFERROR(O59+L60,"")</f>
        <v/>
      </c>
      <c r="P60" s="7">
        <f>IFERROR(-L60,"")</f>
        <v/>
      </c>
      <c r="Q60" s="32" t="n"/>
    </row>
    <row r="61">
      <c r="A61" s="33" t="n"/>
      <c r="B61" s="15" t="n"/>
      <c r="C61" s="7">
        <f>IFERROR(参数配置!$C$5*(B61-$S$3),"")</f>
        <v/>
      </c>
      <c r="D61" s="27" t="n"/>
      <c r="E61" s="27" t="n"/>
      <c r="F61" s="28">
        <f>IFERROR((D61-E61)/E61,"")</f>
        <v/>
      </c>
      <c r="G61" s="27" t="n"/>
      <c r="H61" s="7">
        <f>IFERROR(G61*D61,"")</f>
        <v/>
      </c>
      <c r="I61" s="7">
        <f>IFERROR(IF(F61&gt;=参数配置!$C$12,-H61,C61-H61),"")</f>
        <v/>
      </c>
      <c r="J61" s="29">
        <f>IFERROR(IF(F61&gt;=参数配置!$C$12,"全仓清仓",IF(H61&gt;C61,"卖出超额","正常定投")),"")</f>
        <v/>
      </c>
      <c r="K61" s="30">
        <f>IFERROR(I61,"")</f>
        <v/>
      </c>
      <c r="L61" s="17" t="n"/>
      <c r="M61" s="27" t="n"/>
      <c r="N61" s="31">
        <f>IFERROR(G61+M61,"")</f>
        <v/>
      </c>
      <c r="O61" s="7">
        <f>IFERROR(O60+L61,"")</f>
        <v/>
      </c>
      <c r="P61" s="7">
        <f>IFERROR(-L61,"")</f>
        <v/>
      </c>
      <c r="Q61" s="32" t="n"/>
    </row>
    <row r="62">
      <c r="A62" s="33" t="n"/>
      <c r="B62" s="15" t="n"/>
      <c r="C62" s="7">
        <f>IFERROR(参数配置!$C$5*(B62-$S$3),"")</f>
        <v/>
      </c>
      <c r="D62" s="27" t="n"/>
      <c r="E62" s="27" t="n"/>
      <c r="F62" s="28">
        <f>IFERROR((D62-E62)/E62,"")</f>
        <v/>
      </c>
      <c r="G62" s="27" t="n"/>
      <c r="H62" s="7">
        <f>IFERROR(G62*D62,"")</f>
        <v/>
      </c>
      <c r="I62" s="7">
        <f>IFERROR(IF(F62&gt;=参数配置!$C$12,-H62,C62-H62),"")</f>
        <v/>
      </c>
      <c r="J62" s="29">
        <f>IFERROR(IF(F62&gt;=参数配置!$C$12,"全仓清仓",IF(H62&gt;C62,"卖出超额","正常定投")),"")</f>
        <v/>
      </c>
      <c r="K62" s="30">
        <f>IFERROR(I62,"")</f>
        <v/>
      </c>
      <c r="L62" s="17" t="n"/>
      <c r="M62" s="27" t="n"/>
      <c r="N62" s="31">
        <f>IFERROR(G62+M62,"")</f>
        <v/>
      </c>
      <c r="O62" s="7">
        <f>IFERROR(O61+L62,"")</f>
        <v/>
      </c>
      <c r="P62" s="7">
        <f>IFERROR(-L62,"")</f>
        <v/>
      </c>
      <c r="Q62" s="32" t="n"/>
    </row>
    <row r="63">
      <c r="A63" s="33" t="n"/>
      <c r="B63" s="15" t="n"/>
      <c r="C63" s="7">
        <f>IFERROR(参数配置!$C$5*(B63-$S$3),"")</f>
        <v/>
      </c>
      <c r="D63" s="27" t="n"/>
      <c r="E63" s="27" t="n"/>
      <c r="F63" s="28">
        <f>IFERROR((D63-E63)/E63,"")</f>
        <v/>
      </c>
      <c r="G63" s="27" t="n"/>
      <c r="H63" s="7">
        <f>IFERROR(G63*D63,"")</f>
        <v/>
      </c>
      <c r="I63" s="7">
        <f>IFERROR(IF(F63&gt;=参数配置!$C$12,-H63,C63-H63),"")</f>
        <v/>
      </c>
      <c r="J63" s="29">
        <f>IFERROR(IF(F63&gt;=参数配置!$C$12,"全仓清仓",IF(H63&gt;C63,"卖出超额","正常定投")),"")</f>
        <v/>
      </c>
      <c r="K63" s="30">
        <f>IFERROR(I63,"")</f>
        <v/>
      </c>
      <c r="L63" s="17" t="n"/>
      <c r="M63" s="27" t="n"/>
      <c r="N63" s="31">
        <f>IFERROR(G63+M63,"")</f>
        <v/>
      </c>
      <c r="O63" s="7">
        <f>IFERROR(O62+L63,"")</f>
        <v/>
      </c>
      <c r="P63" s="7">
        <f>IFERROR(-L63,"")</f>
        <v/>
      </c>
      <c r="Q63" s="32" t="n"/>
    </row>
    <row r="64">
      <c r="A64" s="33" t="n"/>
      <c r="B64" s="15" t="n"/>
      <c r="C64" s="7">
        <f>IFERROR(参数配置!$C$5*(B64-$S$3),"")</f>
        <v/>
      </c>
      <c r="D64" s="27" t="n"/>
      <c r="E64" s="27" t="n"/>
      <c r="F64" s="28">
        <f>IFERROR((D64-E64)/E64,"")</f>
        <v/>
      </c>
      <c r="G64" s="27" t="n"/>
      <c r="H64" s="7">
        <f>IFERROR(G64*D64,"")</f>
        <v/>
      </c>
      <c r="I64" s="7">
        <f>IFERROR(IF(F64&gt;=参数配置!$C$12,-H64,C64-H64),"")</f>
        <v/>
      </c>
      <c r="J64" s="29">
        <f>IFERROR(IF(F64&gt;=参数配置!$C$12,"全仓清仓",IF(H64&gt;C64,"卖出超额","正常定投")),"")</f>
        <v/>
      </c>
      <c r="K64" s="30">
        <f>IFERROR(I64,"")</f>
        <v/>
      </c>
      <c r="L64" s="17" t="n"/>
      <c r="M64" s="27" t="n"/>
      <c r="N64" s="31">
        <f>IFERROR(G64+M64,"")</f>
        <v/>
      </c>
      <c r="O64" s="7">
        <f>IFERROR(O63+L64,"")</f>
        <v/>
      </c>
      <c r="P64" s="7">
        <f>IFERROR(-L64,"")</f>
        <v/>
      </c>
      <c r="Q64" s="32" t="n"/>
    </row>
    <row r="65">
      <c r="A65" s="33" t="n"/>
      <c r="B65" s="15" t="n"/>
      <c r="C65" s="7">
        <f>IFERROR(参数配置!$C$5*(B65-$S$3),"")</f>
        <v/>
      </c>
      <c r="D65" s="27" t="n"/>
      <c r="E65" s="27" t="n"/>
      <c r="F65" s="28">
        <f>IFERROR((D65-E65)/E65,"")</f>
        <v/>
      </c>
      <c r="G65" s="27" t="n"/>
      <c r="H65" s="7">
        <f>IFERROR(G65*D65,"")</f>
        <v/>
      </c>
      <c r="I65" s="7">
        <f>IFERROR(IF(F65&gt;=参数配置!$C$12,-H65,C65-H65),"")</f>
        <v/>
      </c>
      <c r="J65" s="29">
        <f>IFERROR(IF(F65&gt;=参数配置!$C$12,"全仓清仓",IF(H65&gt;C65,"卖出超额","正常定投")),"")</f>
        <v/>
      </c>
      <c r="K65" s="30">
        <f>IFERROR(I65,"")</f>
        <v/>
      </c>
      <c r="L65" s="17" t="n"/>
      <c r="M65" s="27" t="n"/>
      <c r="N65" s="31">
        <f>IFERROR(G65+M65,"")</f>
        <v/>
      </c>
      <c r="O65" s="7">
        <f>IFERROR(O64+L65,"")</f>
        <v/>
      </c>
      <c r="P65" s="7">
        <f>IFERROR(-L65,"")</f>
        <v/>
      </c>
      <c r="Q65" s="32" t="n"/>
    </row>
    <row r="66">
      <c r="A66" s="33" t="n"/>
      <c r="B66" s="15" t="n"/>
      <c r="C66" s="7">
        <f>IFERROR(参数配置!$C$5*(B66-$S$3),"")</f>
        <v/>
      </c>
      <c r="D66" s="27" t="n"/>
      <c r="E66" s="27" t="n"/>
      <c r="F66" s="28">
        <f>IFERROR((D66-E66)/E66,"")</f>
        <v/>
      </c>
      <c r="G66" s="27" t="n"/>
      <c r="H66" s="7">
        <f>IFERROR(G66*D66,"")</f>
        <v/>
      </c>
      <c r="I66" s="7">
        <f>IFERROR(IF(F66&gt;=参数配置!$C$12,-H66,C66-H66),"")</f>
        <v/>
      </c>
      <c r="J66" s="29">
        <f>IFERROR(IF(F66&gt;=参数配置!$C$12,"全仓清仓",IF(H66&gt;C66,"卖出超额","正常定投")),"")</f>
        <v/>
      </c>
      <c r="K66" s="30">
        <f>IFERROR(I66,"")</f>
        <v/>
      </c>
      <c r="L66" s="17" t="n"/>
      <c r="M66" s="27" t="n"/>
      <c r="N66" s="31">
        <f>IFERROR(G66+M66,"")</f>
        <v/>
      </c>
      <c r="O66" s="7">
        <f>IFERROR(O65+L66,"")</f>
        <v/>
      </c>
      <c r="P66" s="7">
        <f>IFERROR(-L66,"")</f>
        <v/>
      </c>
      <c r="Q66" s="32" t="n"/>
    </row>
    <row r="67">
      <c r="A67" s="33" t="n"/>
      <c r="B67" s="15" t="n"/>
      <c r="C67" s="7">
        <f>IFERROR(参数配置!$C$5*(B67-$S$3),"")</f>
        <v/>
      </c>
      <c r="D67" s="27" t="n"/>
      <c r="E67" s="27" t="n"/>
      <c r="F67" s="28">
        <f>IFERROR((D67-E67)/E67,"")</f>
        <v/>
      </c>
      <c r="G67" s="27" t="n"/>
      <c r="H67" s="7">
        <f>IFERROR(G67*D67,"")</f>
        <v/>
      </c>
      <c r="I67" s="7">
        <f>IFERROR(IF(F67&gt;=参数配置!$C$12,-H67,C67-H67),"")</f>
        <v/>
      </c>
      <c r="J67" s="29">
        <f>IFERROR(IF(F67&gt;=参数配置!$C$12,"全仓清仓",IF(H67&gt;C67,"卖出超额","正常定投")),"")</f>
        <v/>
      </c>
      <c r="K67" s="30">
        <f>IFERROR(I67,"")</f>
        <v/>
      </c>
      <c r="L67" s="17" t="n"/>
      <c r="M67" s="27" t="n"/>
      <c r="N67" s="31">
        <f>IFERROR(G67+M67,"")</f>
        <v/>
      </c>
      <c r="O67" s="7">
        <f>IFERROR(O66+L67,"")</f>
        <v/>
      </c>
      <c r="P67" s="7">
        <f>IFERROR(-L67,"")</f>
        <v/>
      </c>
      <c r="Q67" s="32" t="n"/>
    </row>
    <row r="68">
      <c r="A68" s="33" t="n"/>
      <c r="B68" s="15" t="n"/>
      <c r="C68" s="7">
        <f>IFERROR(参数配置!$C$5*(B68-$S$3),"")</f>
        <v/>
      </c>
      <c r="D68" s="27" t="n"/>
      <c r="E68" s="27" t="n"/>
      <c r="F68" s="28">
        <f>IFERROR((D68-E68)/E68,"")</f>
        <v/>
      </c>
      <c r="G68" s="27" t="n"/>
      <c r="H68" s="7">
        <f>IFERROR(G68*D68,"")</f>
        <v/>
      </c>
      <c r="I68" s="7">
        <f>IFERROR(IF(F68&gt;=参数配置!$C$12,-H68,C68-H68),"")</f>
        <v/>
      </c>
      <c r="J68" s="29">
        <f>IFERROR(IF(F68&gt;=参数配置!$C$12,"全仓清仓",IF(H68&gt;C68,"卖出超额","正常定投")),"")</f>
        <v/>
      </c>
      <c r="K68" s="30">
        <f>IFERROR(I68,"")</f>
        <v/>
      </c>
      <c r="L68" s="17" t="n"/>
      <c r="M68" s="27" t="n"/>
      <c r="N68" s="31">
        <f>IFERROR(G68+M68,"")</f>
        <v/>
      </c>
      <c r="O68" s="7">
        <f>IFERROR(O67+L68,"")</f>
        <v/>
      </c>
      <c r="P68" s="7">
        <f>IFERROR(-L68,"")</f>
        <v/>
      </c>
      <c r="Q68" s="32" t="n"/>
    </row>
    <row r="69">
      <c r="A69" s="33" t="n"/>
      <c r="B69" s="15" t="n"/>
      <c r="C69" s="7">
        <f>IFERROR(参数配置!$C$5*(B69-$S$3),"")</f>
        <v/>
      </c>
      <c r="D69" s="27" t="n"/>
      <c r="E69" s="27" t="n"/>
      <c r="F69" s="28">
        <f>IFERROR((D69-E69)/E69,"")</f>
        <v/>
      </c>
      <c r="G69" s="27" t="n"/>
      <c r="H69" s="7">
        <f>IFERROR(G69*D69,"")</f>
        <v/>
      </c>
      <c r="I69" s="7">
        <f>IFERROR(IF(F69&gt;=参数配置!$C$12,-H69,C69-H69),"")</f>
        <v/>
      </c>
      <c r="J69" s="29">
        <f>IFERROR(IF(F69&gt;=参数配置!$C$12,"全仓清仓",IF(H69&gt;C69,"卖出超额","正常定投")),"")</f>
        <v/>
      </c>
      <c r="K69" s="30">
        <f>IFERROR(I69,"")</f>
        <v/>
      </c>
      <c r="L69" s="17" t="n"/>
      <c r="M69" s="27" t="n"/>
      <c r="N69" s="31">
        <f>IFERROR(G69+M69,"")</f>
        <v/>
      </c>
      <c r="O69" s="7">
        <f>IFERROR(O68+L69,"")</f>
        <v/>
      </c>
      <c r="P69" s="7">
        <f>IFERROR(-L69,"")</f>
        <v/>
      </c>
      <c r="Q69" s="32" t="n"/>
    </row>
    <row r="70">
      <c r="A70" s="33" t="n"/>
      <c r="B70" s="15" t="n"/>
      <c r="C70" s="7">
        <f>IFERROR(参数配置!$C$5*(B70-$S$3),"")</f>
        <v/>
      </c>
      <c r="D70" s="27" t="n"/>
      <c r="E70" s="27" t="n"/>
      <c r="F70" s="28">
        <f>IFERROR((D70-E70)/E70,"")</f>
        <v/>
      </c>
      <c r="G70" s="27" t="n"/>
      <c r="H70" s="7">
        <f>IFERROR(G70*D70,"")</f>
        <v/>
      </c>
      <c r="I70" s="7">
        <f>IFERROR(IF(F70&gt;=参数配置!$C$12,-H70,C70-H70),"")</f>
        <v/>
      </c>
      <c r="J70" s="29">
        <f>IFERROR(IF(F70&gt;=参数配置!$C$12,"全仓清仓",IF(H70&gt;C70,"卖出超额","正常定投")),"")</f>
        <v/>
      </c>
      <c r="K70" s="30">
        <f>IFERROR(I70,"")</f>
        <v/>
      </c>
      <c r="L70" s="17" t="n"/>
      <c r="M70" s="27" t="n"/>
      <c r="N70" s="31">
        <f>IFERROR(G70+M70,"")</f>
        <v/>
      </c>
      <c r="O70" s="7">
        <f>IFERROR(O69+L70,"")</f>
        <v/>
      </c>
      <c r="P70" s="7">
        <f>IFERROR(-L70,"")</f>
        <v/>
      </c>
      <c r="Q70" s="32" t="n"/>
    </row>
    <row r="71">
      <c r="A71" s="33" t="n"/>
      <c r="B71" s="15" t="n"/>
      <c r="C71" s="7">
        <f>IFERROR(参数配置!$C$5*(B71-$S$3),"")</f>
        <v/>
      </c>
      <c r="D71" s="27" t="n"/>
      <c r="E71" s="27" t="n"/>
      <c r="F71" s="28">
        <f>IFERROR((D71-E71)/E71,"")</f>
        <v/>
      </c>
      <c r="G71" s="27" t="n"/>
      <c r="H71" s="7">
        <f>IFERROR(G71*D71,"")</f>
        <v/>
      </c>
      <c r="I71" s="7">
        <f>IFERROR(IF(F71&gt;=参数配置!$C$12,-H71,C71-H71),"")</f>
        <v/>
      </c>
      <c r="J71" s="29">
        <f>IFERROR(IF(F71&gt;=参数配置!$C$12,"全仓清仓",IF(H71&gt;C71,"卖出超额","正常定投")),"")</f>
        <v/>
      </c>
      <c r="K71" s="30">
        <f>IFERROR(I71,"")</f>
        <v/>
      </c>
      <c r="L71" s="17" t="n"/>
      <c r="M71" s="27" t="n"/>
      <c r="N71" s="31">
        <f>IFERROR(G71+M71,"")</f>
        <v/>
      </c>
      <c r="O71" s="7">
        <f>IFERROR(O70+L71,"")</f>
        <v/>
      </c>
      <c r="P71" s="7">
        <f>IFERROR(-L71,"")</f>
        <v/>
      </c>
      <c r="Q71" s="32" t="n"/>
    </row>
    <row r="72">
      <c r="A72" s="33" t="n"/>
      <c r="B72" s="15" t="n"/>
      <c r="C72" s="7">
        <f>IFERROR(参数配置!$C$5*(B72-$S$3),"")</f>
        <v/>
      </c>
      <c r="D72" s="27" t="n"/>
      <c r="E72" s="27" t="n"/>
      <c r="F72" s="28">
        <f>IFERROR((D72-E72)/E72,"")</f>
        <v/>
      </c>
      <c r="G72" s="27" t="n"/>
      <c r="H72" s="7">
        <f>IFERROR(G72*D72,"")</f>
        <v/>
      </c>
      <c r="I72" s="7">
        <f>IFERROR(IF(F72&gt;=参数配置!$C$12,-H72,C72-H72),"")</f>
        <v/>
      </c>
      <c r="J72" s="29">
        <f>IFERROR(IF(F72&gt;=参数配置!$C$12,"全仓清仓",IF(H72&gt;C72,"卖出超额","正常定投")),"")</f>
        <v/>
      </c>
      <c r="K72" s="30">
        <f>IFERROR(I72,"")</f>
        <v/>
      </c>
      <c r="L72" s="17" t="n"/>
      <c r="M72" s="27" t="n"/>
      <c r="N72" s="31">
        <f>IFERROR(G72+M72,"")</f>
        <v/>
      </c>
      <c r="O72" s="7">
        <f>IFERROR(O71+L72,"")</f>
        <v/>
      </c>
      <c r="P72" s="7">
        <f>IFERROR(-L72,"")</f>
        <v/>
      </c>
      <c r="Q72" s="32" t="n"/>
    </row>
    <row r="73">
      <c r="A73" s="33" t="n"/>
      <c r="B73" s="15" t="n"/>
      <c r="C73" s="7">
        <f>IFERROR(参数配置!$C$5*(B73-$S$3),"")</f>
        <v/>
      </c>
      <c r="D73" s="27" t="n"/>
      <c r="E73" s="27" t="n"/>
      <c r="F73" s="28">
        <f>IFERROR((D73-E73)/E73,"")</f>
        <v/>
      </c>
      <c r="G73" s="27" t="n"/>
      <c r="H73" s="7">
        <f>IFERROR(G73*D73,"")</f>
        <v/>
      </c>
      <c r="I73" s="7">
        <f>IFERROR(IF(F73&gt;=参数配置!$C$12,-H73,C73-H73),"")</f>
        <v/>
      </c>
      <c r="J73" s="29">
        <f>IFERROR(IF(F73&gt;=参数配置!$C$12,"全仓清仓",IF(H73&gt;C73,"卖出超额","正常定投")),"")</f>
        <v/>
      </c>
      <c r="K73" s="30">
        <f>IFERROR(I73,"")</f>
        <v/>
      </c>
      <c r="L73" s="17" t="n"/>
      <c r="M73" s="27" t="n"/>
      <c r="N73" s="31">
        <f>IFERROR(G73+M73,"")</f>
        <v/>
      </c>
      <c r="O73" s="7">
        <f>IFERROR(O72+L73,"")</f>
        <v/>
      </c>
      <c r="P73" s="7">
        <f>IFERROR(-L73,"")</f>
        <v/>
      </c>
      <c r="Q73" s="32" t="n"/>
    </row>
    <row r="74">
      <c r="A74" s="33" t="n"/>
      <c r="B74" s="15" t="n"/>
      <c r="C74" s="7">
        <f>IFERROR(参数配置!$C$5*(B74-$S$3),"")</f>
        <v/>
      </c>
      <c r="D74" s="27" t="n"/>
      <c r="E74" s="27" t="n"/>
      <c r="F74" s="28">
        <f>IFERROR((D74-E74)/E74,"")</f>
        <v/>
      </c>
      <c r="G74" s="27" t="n"/>
      <c r="H74" s="7">
        <f>IFERROR(G74*D74,"")</f>
        <v/>
      </c>
      <c r="I74" s="7">
        <f>IFERROR(IF(F74&gt;=参数配置!$C$12,-H74,C74-H74),"")</f>
        <v/>
      </c>
      <c r="J74" s="29">
        <f>IFERROR(IF(F74&gt;=参数配置!$C$12,"全仓清仓",IF(H74&gt;C74,"卖出超额","正常定投")),"")</f>
        <v/>
      </c>
      <c r="K74" s="30">
        <f>IFERROR(I74,"")</f>
        <v/>
      </c>
      <c r="L74" s="17" t="n"/>
      <c r="M74" s="27" t="n"/>
      <c r="N74" s="31">
        <f>IFERROR(G74+M74,"")</f>
        <v/>
      </c>
      <c r="O74" s="7">
        <f>IFERROR(O73+L74,"")</f>
        <v/>
      </c>
      <c r="P74" s="7">
        <f>IFERROR(-L74,"")</f>
        <v/>
      </c>
      <c r="Q74" s="32" t="n"/>
    </row>
    <row r="75">
      <c r="A75" s="33" t="n"/>
      <c r="B75" s="15" t="n"/>
      <c r="C75" s="7">
        <f>IFERROR(参数配置!$C$5*(B75-$S$3),"")</f>
        <v/>
      </c>
      <c r="D75" s="27" t="n"/>
      <c r="E75" s="27" t="n"/>
      <c r="F75" s="28">
        <f>IFERROR((D75-E75)/E75,"")</f>
        <v/>
      </c>
      <c r="G75" s="27" t="n"/>
      <c r="H75" s="7">
        <f>IFERROR(G75*D75,"")</f>
        <v/>
      </c>
      <c r="I75" s="7">
        <f>IFERROR(IF(F75&gt;=参数配置!$C$12,-H75,C75-H75),"")</f>
        <v/>
      </c>
      <c r="J75" s="29">
        <f>IFERROR(IF(F75&gt;=参数配置!$C$12,"全仓清仓",IF(H75&gt;C75,"卖出超额","正常定投")),"")</f>
        <v/>
      </c>
      <c r="K75" s="30">
        <f>IFERROR(I75,"")</f>
        <v/>
      </c>
      <c r="L75" s="17" t="n"/>
      <c r="M75" s="27" t="n"/>
      <c r="N75" s="31">
        <f>IFERROR(G75+M75,"")</f>
        <v/>
      </c>
      <c r="O75" s="7">
        <f>IFERROR(O74+L75,"")</f>
        <v/>
      </c>
      <c r="P75" s="7">
        <f>IFERROR(-L75,"")</f>
        <v/>
      </c>
      <c r="Q75" s="32" t="n"/>
    </row>
    <row r="76">
      <c r="A76" s="33" t="n"/>
      <c r="B76" s="15" t="n"/>
      <c r="C76" s="7">
        <f>IFERROR(参数配置!$C$5*(B76-$S$3),"")</f>
        <v/>
      </c>
      <c r="D76" s="27" t="n"/>
      <c r="E76" s="27" t="n"/>
      <c r="F76" s="28">
        <f>IFERROR((D76-E76)/E76,"")</f>
        <v/>
      </c>
      <c r="G76" s="27" t="n"/>
      <c r="H76" s="7">
        <f>IFERROR(G76*D76,"")</f>
        <v/>
      </c>
      <c r="I76" s="7">
        <f>IFERROR(IF(F76&gt;=参数配置!$C$12,-H76,C76-H76),"")</f>
        <v/>
      </c>
      <c r="J76" s="29">
        <f>IFERROR(IF(F76&gt;=参数配置!$C$12,"全仓清仓",IF(H76&gt;C76,"卖出超额","正常定投")),"")</f>
        <v/>
      </c>
      <c r="K76" s="30">
        <f>IFERROR(I76,"")</f>
        <v/>
      </c>
      <c r="L76" s="17" t="n"/>
      <c r="M76" s="27" t="n"/>
      <c r="N76" s="31">
        <f>IFERROR(G76+M76,"")</f>
        <v/>
      </c>
      <c r="O76" s="7">
        <f>IFERROR(O75+L76,"")</f>
        <v/>
      </c>
      <c r="P76" s="7">
        <f>IFERROR(-L76,"")</f>
        <v/>
      </c>
      <c r="Q76" s="32" t="n"/>
    </row>
    <row r="77">
      <c r="A77" s="33" t="n"/>
      <c r="B77" s="15" t="n"/>
      <c r="C77" s="7">
        <f>IFERROR(参数配置!$C$5*(B77-$S$3),"")</f>
        <v/>
      </c>
      <c r="D77" s="27" t="n"/>
      <c r="E77" s="27" t="n"/>
      <c r="F77" s="28">
        <f>IFERROR((D77-E77)/E77,"")</f>
        <v/>
      </c>
      <c r="G77" s="27" t="n"/>
      <c r="H77" s="7">
        <f>IFERROR(G77*D77,"")</f>
        <v/>
      </c>
      <c r="I77" s="7">
        <f>IFERROR(IF(F77&gt;=参数配置!$C$12,-H77,C77-H77),"")</f>
        <v/>
      </c>
      <c r="J77" s="29">
        <f>IFERROR(IF(F77&gt;=参数配置!$C$12,"全仓清仓",IF(H77&gt;C77,"卖出超额","正常定投")),"")</f>
        <v/>
      </c>
      <c r="K77" s="30">
        <f>IFERROR(I77,"")</f>
        <v/>
      </c>
      <c r="L77" s="17" t="n"/>
      <c r="M77" s="27" t="n"/>
      <c r="N77" s="31">
        <f>IFERROR(G77+M77,"")</f>
        <v/>
      </c>
      <c r="O77" s="7">
        <f>IFERROR(O76+L77,"")</f>
        <v/>
      </c>
      <c r="P77" s="7">
        <f>IFERROR(-L77,"")</f>
        <v/>
      </c>
      <c r="Q77" s="32" t="n"/>
    </row>
    <row r="78">
      <c r="A78" s="33" t="n"/>
      <c r="B78" s="15" t="n"/>
      <c r="C78" s="7">
        <f>IFERROR(参数配置!$C$5*(B78-$S$3),"")</f>
        <v/>
      </c>
      <c r="D78" s="27" t="n"/>
      <c r="E78" s="27" t="n"/>
      <c r="F78" s="28">
        <f>IFERROR((D78-E78)/E78,"")</f>
        <v/>
      </c>
      <c r="G78" s="27" t="n"/>
      <c r="H78" s="7">
        <f>IFERROR(G78*D78,"")</f>
        <v/>
      </c>
      <c r="I78" s="7">
        <f>IFERROR(IF(F78&gt;=参数配置!$C$12,-H78,C78-H78),"")</f>
        <v/>
      </c>
      <c r="J78" s="29">
        <f>IFERROR(IF(F78&gt;=参数配置!$C$12,"全仓清仓",IF(H78&gt;C78,"卖出超额","正常定投")),"")</f>
        <v/>
      </c>
      <c r="K78" s="30">
        <f>IFERROR(I78,"")</f>
        <v/>
      </c>
      <c r="L78" s="17" t="n"/>
      <c r="M78" s="27" t="n"/>
      <c r="N78" s="31">
        <f>IFERROR(G78+M78,"")</f>
        <v/>
      </c>
      <c r="O78" s="7">
        <f>IFERROR(O77+L78,"")</f>
        <v/>
      </c>
      <c r="P78" s="7">
        <f>IFERROR(-L78,"")</f>
        <v/>
      </c>
      <c r="Q78" s="32" t="n"/>
    </row>
    <row r="79">
      <c r="A79" s="33" t="n"/>
      <c r="B79" s="15" t="n"/>
      <c r="C79" s="7">
        <f>IFERROR(参数配置!$C$5*(B79-$S$3),"")</f>
        <v/>
      </c>
      <c r="D79" s="27" t="n"/>
      <c r="E79" s="27" t="n"/>
      <c r="F79" s="28">
        <f>IFERROR((D79-E79)/E79,"")</f>
        <v/>
      </c>
      <c r="G79" s="27" t="n"/>
      <c r="H79" s="7">
        <f>IFERROR(G79*D79,"")</f>
        <v/>
      </c>
      <c r="I79" s="7">
        <f>IFERROR(IF(F79&gt;=参数配置!$C$12,-H79,C79-H79),"")</f>
        <v/>
      </c>
      <c r="J79" s="29">
        <f>IFERROR(IF(F79&gt;=参数配置!$C$12,"全仓清仓",IF(H79&gt;C79,"卖出超额","正常定投")),"")</f>
        <v/>
      </c>
      <c r="K79" s="30">
        <f>IFERROR(I79,"")</f>
        <v/>
      </c>
      <c r="L79" s="17" t="n"/>
      <c r="M79" s="27" t="n"/>
      <c r="N79" s="31">
        <f>IFERROR(G79+M79,"")</f>
        <v/>
      </c>
      <c r="O79" s="7">
        <f>IFERROR(O78+L79,"")</f>
        <v/>
      </c>
      <c r="P79" s="7">
        <f>IFERROR(-L79,"")</f>
        <v/>
      </c>
      <c r="Q79" s="32" t="n"/>
    </row>
    <row r="80">
      <c r="A80" s="33" t="n"/>
      <c r="B80" s="15" t="n"/>
      <c r="C80" s="7">
        <f>IFERROR(参数配置!$C$5*(B80-$S$3),"")</f>
        <v/>
      </c>
      <c r="D80" s="27" t="n"/>
      <c r="E80" s="27" t="n"/>
      <c r="F80" s="28">
        <f>IFERROR((D80-E80)/E80,"")</f>
        <v/>
      </c>
      <c r="G80" s="27" t="n"/>
      <c r="H80" s="7">
        <f>IFERROR(G80*D80,"")</f>
        <v/>
      </c>
      <c r="I80" s="7">
        <f>IFERROR(IF(F80&gt;=参数配置!$C$12,-H80,C80-H80),"")</f>
        <v/>
      </c>
      <c r="J80" s="29">
        <f>IFERROR(IF(F80&gt;=参数配置!$C$12,"全仓清仓",IF(H80&gt;C80,"卖出超额","正常定投")),"")</f>
        <v/>
      </c>
      <c r="K80" s="30">
        <f>IFERROR(I80,"")</f>
        <v/>
      </c>
      <c r="L80" s="17" t="n"/>
      <c r="M80" s="27" t="n"/>
      <c r="N80" s="31">
        <f>IFERROR(G80+M80,"")</f>
        <v/>
      </c>
      <c r="O80" s="7">
        <f>IFERROR(O79+L80,"")</f>
        <v/>
      </c>
      <c r="P80" s="7">
        <f>IFERROR(-L80,"")</f>
        <v/>
      </c>
      <c r="Q80" s="32" t="n"/>
    </row>
    <row r="81">
      <c r="A81" s="33" t="n"/>
      <c r="B81" s="15" t="n"/>
      <c r="C81" s="7">
        <f>IFERROR(参数配置!$C$5*(B81-$S$3),"")</f>
        <v/>
      </c>
      <c r="D81" s="27" t="n"/>
      <c r="E81" s="27" t="n"/>
      <c r="F81" s="28">
        <f>IFERROR((D81-E81)/E81,"")</f>
        <v/>
      </c>
      <c r="G81" s="27" t="n"/>
      <c r="H81" s="7">
        <f>IFERROR(G81*D81,"")</f>
        <v/>
      </c>
      <c r="I81" s="7">
        <f>IFERROR(IF(F81&gt;=参数配置!$C$12,-H81,C81-H81),"")</f>
        <v/>
      </c>
      <c r="J81" s="29">
        <f>IFERROR(IF(F81&gt;=参数配置!$C$12,"全仓清仓",IF(H81&gt;C81,"卖出超额","正常定投")),"")</f>
        <v/>
      </c>
      <c r="K81" s="30">
        <f>IFERROR(I81,"")</f>
        <v/>
      </c>
      <c r="L81" s="17" t="n"/>
      <c r="M81" s="27" t="n"/>
      <c r="N81" s="31">
        <f>IFERROR(G81+M81,"")</f>
        <v/>
      </c>
      <c r="O81" s="7">
        <f>IFERROR(O80+L81,"")</f>
        <v/>
      </c>
      <c r="P81" s="7">
        <f>IFERROR(-L81,"")</f>
        <v/>
      </c>
      <c r="Q81" s="32" t="n"/>
    </row>
    <row r="82">
      <c r="A82" s="33" t="n"/>
      <c r="B82" s="15" t="n"/>
      <c r="C82" s="7">
        <f>IFERROR(参数配置!$C$5*(B82-$S$3),"")</f>
        <v/>
      </c>
      <c r="D82" s="27" t="n"/>
      <c r="E82" s="27" t="n"/>
      <c r="F82" s="28">
        <f>IFERROR((D82-E82)/E82,"")</f>
        <v/>
      </c>
      <c r="G82" s="27" t="n"/>
      <c r="H82" s="7">
        <f>IFERROR(G82*D82,"")</f>
        <v/>
      </c>
      <c r="I82" s="7">
        <f>IFERROR(IF(F82&gt;=参数配置!$C$12,-H82,C82-H82),"")</f>
        <v/>
      </c>
      <c r="J82" s="29">
        <f>IFERROR(IF(F82&gt;=参数配置!$C$12,"全仓清仓",IF(H82&gt;C82,"卖出超额","正常定投")),"")</f>
        <v/>
      </c>
      <c r="K82" s="30">
        <f>IFERROR(I82,"")</f>
        <v/>
      </c>
      <c r="L82" s="17" t="n"/>
      <c r="M82" s="27" t="n"/>
      <c r="N82" s="31">
        <f>IFERROR(G82+M82,"")</f>
        <v/>
      </c>
      <c r="O82" s="7">
        <f>IFERROR(O81+L82,"")</f>
        <v/>
      </c>
      <c r="P82" s="7">
        <f>IFERROR(-L82,"")</f>
        <v/>
      </c>
      <c r="Q82" s="32" t="n"/>
    </row>
    <row r="83">
      <c r="A83" s="33" t="n"/>
      <c r="B83" s="15" t="n"/>
      <c r="C83" s="7">
        <f>IFERROR(参数配置!$C$5*(B83-$S$3),"")</f>
        <v/>
      </c>
      <c r="D83" s="27" t="n"/>
      <c r="E83" s="27" t="n"/>
      <c r="F83" s="28">
        <f>IFERROR((D83-E83)/E83,"")</f>
        <v/>
      </c>
      <c r="G83" s="27" t="n"/>
      <c r="H83" s="7">
        <f>IFERROR(G83*D83,"")</f>
        <v/>
      </c>
      <c r="I83" s="7">
        <f>IFERROR(IF(F83&gt;=参数配置!$C$12,-H83,C83-H83),"")</f>
        <v/>
      </c>
      <c r="J83" s="29">
        <f>IFERROR(IF(F83&gt;=参数配置!$C$12,"全仓清仓",IF(H83&gt;C83,"卖出超额","正常定投")),"")</f>
        <v/>
      </c>
      <c r="K83" s="30">
        <f>IFERROR(I83,"")</f>
        <v/>
      </c>
      <c r="L83" s="17" t="n"/>
      <c r="M83" s="27" t="n"/>
      <c r="N83" s="31">
        <f>IFERROR(G83+M83,"")</f>
        <v/>
      </c>
      <c r="O83" s="7">
        <f>IFERROR(O82+L83,"")</f>
        <v/>
      </c>
      <c r="P83" s="7">
        <f>IFERROR(-L83,"")</f>
        <v/>
      </c>
      <c r="Q83" s="32" t="n"/>
    </row>
    <row r="84">
      <c r="A84" s="33" t="n"/>
      <c r="B84" s="15" t="n"/>
      <c r="C84" s="7">
        <f>IFERROR(参数配置!$C$5*(B84-$S$3),"")</f>
        <v/>
      </c>
      <c r="D84" s="27" t="n"/>
      <c r="E84" s="27" t="n"/>
      <c r="F84" s="28">
        <f>IFERROR((D84-E84)/E84,"")</f>
        <v/>
      </c>
      <c r="G84" s="27" t="n"/>
      <c r="H84" s="7">
        <f>IFERROR(G84*D84,"")</f>
        <v/>
      </c>
      <c r="I84" s="7">
        <f>IFERROR(IF(F84&gt;=参数配置!$C$12,-H84,C84-H84),"")</f>
        <v/>
      </c>
      <c r="J84" s="29">
        <f>IFERROR(IF(F84&gt;=参数配置!$C$12,"全仓清仓",IF(H84&gt;C84,"卖出超额","正常定投")),"")</f>
        <v/>
      </c>
      <c r="K84" s="30">
        <f>IFERROR(I84,"")</f>
        <v/>
      </c>
      <c r="L84" s="17" t="n"/>
      <c r="M84" s="27" t="n"/>
      <c r="N84" s="31">
        <f>IFERROR(G84+M84,"")</f>
        <v/>
      </c>
      <c r="O84" s="7">
        <f>IFERROR(O83+L84,"")</f>
        <v/>
      </c>
      <c r="P84" s="7">
        <f>IFERROR(-L84,"")</f>
        <v/>
      </c>
      <c r="Q84" s="32" t="n"/>
    </row>
    <row r="85">
      <c r="A85" s="33" t="n"/>
      <c r="B85" s="15" t="n"/>
      <c r="C85" s="7">
        <f>IFERROR(参数配置!$C$5*(B85-$S$3),"")</f>
        <v/>
      </c>
      <c r="D85" s="27" t="n"/>
      <c r="E85" s="27" t="n"/>
      <c r="F85" s="28">
        <f>IFERROR((D85-E85)/E85,"")</f>
        <v/>
      </c>
      <c r="G85" s="27" t="n"/>
      <c r="H85" s="7">
        <f>IFERROR(G85*D85,"")</f>
        <v/>
      </c>
      <c r="I85" s="7">
        <f>IFERROR(IF(F85&gt;=参数配置!$C$12,-H85,C85-H85),"")</f>
        <v/>
      </c>
      <c r="J85" s="29">
        <f>IFERROR(IF(F85&gt;=参数配置!$C$12,"全仓清仓",IF(H85&gt;C85,"卖出超额","正常定投")),"")</f>
        <v/>
      </c>
      <c r="K85" s="30">
        <f>IFERROR(I85,"")</f>
        <v/>
      </c>
      <c r="L85" s="17" t="n"/>
      <c r="M85" s="27" t="n"/>
      <c r="N85" s="31">
        <f>IFERROR(G85+M85,"")</f>
        <v/>
      </c>
      <c r="O85" s="7">
        <f>IFERROR(O84+L85,"")</f>
        <v/>
      </c>
      <c r="P85" s="7">
        <f>IFERROR(-L85,"")</f>
        <v/>
      </c>
      <c r="Q85" s="32" t="n"/>
    </row>
    <row r="86">
      <c r="A86" s="33" t="n"/>
      <c r="B86" s="15" t="n"/>
      <c r="C86" s="7">
        <f>IFERROR(参数配置!$C$5*(B86-$S$3),"")</f>
        <v/>
      </c>
      <c r="D86" s="27" t="n"/>
      <c r="E86" s="27" t="n"/>
      <c r="F86" s="28">
        <f>IFERROR((D86-E86)/E86,"")</f>
        <v/>
      </c>
      <c r="G86" s="27" t="n"/>
      <c r="H86" s="7">
        <f>IFERROR(G86*D86,"")</f>
        <v/>
      </c>
      <c r="I86" s="7">
        <f>IFERROR(IF(F86&gt;=参数配置!$C$12,-H86,C86-H86),"")</f>
        <v/>
      </c>
      <c r="J86" s="29">
        <f>IFERROR(IF(F86&gt;=参数配置!$C$12,"全仓清仓",IF(H86&gt;C86,"卖出超额","正常定投")),"")</f>
        <v/>
      </c>
      <c r="K86" s="30">
        <f>IFERROR(I86,"")</f>
        <v/>
      </c>
      <c r="L86" s="17" t="n"/>
      <c r="M86" s="27" t="n"/>
      <c r="N86" s="31">
        <f>IFERROR(G86+M86,"")</f>
        <v/>
      </c>
      <c r="O86" s="7">
        <f>IFERROR(O85+L86,"")</f>
        <v/>
      </c>
      <c r="P86" s="7">
        <f>IFERROR(-L86,"")</f>
        <v/>
      </c>
      <c r="Q86" s="32" t="n"/>
    </row>
    <row r="87">
      <c r="A87" s="33" t="n"/>
      <c r="B87" s="15" t="n"/>
      <c r="C87" s="7">
        <f>IFERROR(参数配置!$C$5*(B87-$S$3),"")</f>
        <v/>
      </c>
      <c r="D87" s="27" t="n"/>
      <c r="E87" s="27" t="n"/>
      <c r="F87" s="28">
        <f>IFERROR((D87-E87)/E87,"")</f>
        <v/>
      </c>
      <c r="G87" s="27" t="n"/>
      <c r="H87" s="7">
        <f>IFERROR(G87*D87,"")</f>
        <v/>
      </c>
      <c r="I87" s="7">
        <f>IFERROR(IF(F87&gt;=参数配置!$C$12,-H87,C87-H87),"")</f>
        <v/>
      </c>
      <c r="J87" s="29">
        <f>IFERROR(IF(F87&gt;=参数配置!$C$12,"全仓清仓",IF(H87&gt;C87,"卖出超额","正常定投")),"")</f>
        <v/>
      </c>
      <c r="K87" s="30">
        <f>IFERROR(I87,"")</f>
        <v/>
      </c>
      <c r="L87" s="17" t="n"/>
      <c r="M87" s="27" t="n"/>
      <c r="N87" s="31">
        <f>IFERROR(G87+M87,"")</f>
        <v/>
      </c>
      <c r="O87" s="7">
        <f>IFERROR(O86+L87,"")</f>
        <v/>
      </c>
      <c r="P87" s="7">
        <f>IFERROR(-L87,"")</f>
        <v/>
      </c>
      <c r="Q87" s="32" t="n"/>
    </row>
    <row r="88">
      <c r="A88" s="33" t="n"/>
      <c r="B88" s="15" t="n"/>
      <c r="C88" s="7">
        <f>IFERROR(参数配置!$C$5*(B88-$S$3),"")</f>
        <v/>
      </c>
      <c r="D88" s="27" t="n"/>
      <c r="E88" s="27" t="n"/>
      <c r="F88" s="28">
        <f>IFERROR((D88-E88)/E88,"")</f>
        <v/>
      </c>
      <c r="G88" s="27" t="n"/>
      <c r="H88" s="7">
        <f>IFERROR(G88*D88,"")</f>
        <v/>
      </c>
      <c r="I88" s="7">
        <f>IFERROR(IF(F88&gt;=参数配置!$C$12,-H88,C88-H88),"")</f>
        <v/>
      </c>
      <c r="J88" s="29">
        <f>IFERROR(IF(F88&gt;=参数配置!$C$12,"全仓清仓",IF(H88&gt;C88,"卖出超额","正常定投")),"")</f>
        <v/>
      </c>
      <c r="K88" s="30">
        <f>IFERROR(I88,"")</f>
        <v/>
      </c>
      <c r="L88" s="17" t="n"/>
      <c r="M88" s="27" t="n"/>
      <c r="N88" s="31">
        <f>IFERROR(G88+M88,"")</f>
        <v/>
      </c>
      <c r="O88" s="7">
        <f>IFERROR(O87+L88,"")</f>
        <v/>
      </c>
      <c r="P88" s="7">
        <f>IFERROR(-L88,"")</f>
        <v/>
      </c>
      <c r="Q88" s="32" t="n"/>
    </row>
    <row r="89">
      <c r="A89" s="33" t="n"/>
      <c r="B89" s="15" t="n"/>
      <c r="C89" s="7">
        <f>IFERROR(参数配置!$C$5*(B89-$S$3),"")</f>
        <v/>
      </c>
      <c r="D89" s="27" t="n"/>
      <c r="E89" s="27" t="n"/>
      <c r="F89" s="28">
        <f>IFERROR((D89-E89)/E89,"")</f>
        <v/>
      </c>
      <c r="G89" s="27" t="n"/>
      <c r="H89" s="7">
        <f>IFERROR(G89*D89,"")</f>
        <v/>
      </c>
      <c r="I89" s="7">
        <f>IFERROR(IF(F89&gt;=参数配置!$C$12,-H89,C89-H89),"")</f>
        <v/>
      </c>
      <c r="J89" s="29">
        <f>IFERROR(IF(F89&gt;=参数配置!$C$12,"全仓清仓",IF(H89&gt;C89,"卖出超额","正常定投")),"")</f>
        <v/>
      </c>
      <c r="K89" s="30">
        <f>IFERROR(I89,"")</f>
        <v/>
      </c>
      <c r="L89" s="17" t="n"/>
      <c r="M89" s="27" t="n"/>
      <c r="N89" s="31">
        <f>IFERROR(G89+M89,"")</f>
        <v/>
      </c>
      <c r="O89" s="7">
        <f>IFERROR(O88+L89,"")</f>
        <v/>
      </c>
      <c r="P89" s="7">
        <f>IFERROR(-L89,"")</f>
        <v/>
      </c>
      <c r="Q89" s="32" t="n"/>
    </row>
    <row r="90">
      <c r="A90" s="33" t="n"/>
      <c r="B90" s="15" t="n"/>
      <c r="C90" s="7">
        <f>IFERROR(参数配置!$C$5*(B90-$S$3),"")</f>
        <v/>
      </c>
      <c r="D90" s="27" t="n"/>
      <c r="E90" s="27" t="n"/>
      <c r="F90" s="28">
        <f>IFERROR((D90-E90)/E90,"")</f>
        <v/>
      </c>
      <c r="G90" s="27" t="n"/>
      <c r="H90" s="7">
        <f>IFERROR(G90*D90,"")</f>
        <v/>
      </c>
      <c r="I90" s="7">
        <f>IFERROR(IF(F90&gt;=参数配置!$C$12,-H90,C90-H90),"")</f>
        <v/>
      </c>
      <c r="J90" s="29">
        <f>IFERROR(IF(F90&gt;=参数配置!$C$12,"全仓清仓",IF(H90&gt;C90,"卖出超额","正常定投")),"")</f>
        <v/>
      </c>
      <c r="K90" s="30">
        <f>IFERROR(I90,"")</f>
        <v/>
      </c>
      <c r="L90" s="17" t="n"/>
      <c r="M90" s="27" t="n"/>
      <c r="N90" s="31">
        <f>IFERROR(G90+M90,"")</f>
        <v/>
      </c>
      <c r="O90" s="7">
        <f>IFERROR(O89+L90,"")</f>
        <v/>
      </c>
      <c r="P90" s="7">
        <f>IFERROR(-L90,"")</f>
        <v/>
      </c>
      <c r="Q90" s="32" t="n"/>
    </row>
    <row r="91">
      <c r="A91" s="33" t="n"/>
      <c r="B91" s="15" t="n"/>
      <c r="C91" s="7">
        <f>IFERROR(参数配置!$C$5*(B91-$S$3),"")</f>
        <v/>
      </c>
      <c r="D91" s="27" t="n"/>
      <c r="E91" s="27" t="n"/>
      <c r="F91" s="28">
        <f>IFERROR((D91-E91)/E91,"")</f>
        <v/>
      </c>
      <c r="G91" s="27" t="n"/>
      <c r="H91" s="7">
        <f>IFERROR(G91*D91,"")</f>
        <v/>
      </c>
      <c r="I91" s="7">
        <f>IFERROR(IF(F91&gt;=参数配置!$C$12,-H91,C91-H91),"")</f>
        <v/>
      </c>
      <c r="J91" s="29">
        <f>IFERROR(IF(F91&gt;=参数配置!$C$12,"全仓清仓",IF(H91&gt;C91,"卖出超额","正常定投")),"")</f>
        <v/>
      </c>
      <c r="K91" s="30">
        <f>IFERROR(I91,"")</f>
        <v/>
      </c>
      <c r="L91" s="17" t="n"/>
      <c r="M91" s="27" t="n"/>
      <c r="N91" s="31">
        <f>IFERROR(G91+M91,"")</f>
        <v/>
      </c>
      <c r="O91" s="7">
        <f>IFERROR(O90+L91,"")</f>
        <v/>
      </c>
      <c r="P91" s="7">
        <f>IFERROR(-L91,"")</f>
        <v/>
      </c>
      <c r="Q91" s="32" t="n"/>
    </row>
    <row r="92">
      <c r="A92" s="33" t="n"/>
      <c r="B92" s="15" t="n"/>
      <c r="C92" s="7">
        <f>IFERROR(参数配置!$C$5*(B92-$S$3),"")</f>
        <v/>
      </c>
      <c r="D92" s="27" t="n"/>
      <c r="E92" s="27" t="n"/>
      <c r="F92" s="28">
        <f>IFERROR((D92-E92)/E92,"")</f>
        <v/>
      </c>
      <c r="G92" s="27" t="n"/>
      <c r="H92" s="7">
        <f>IFERROR(G92*D92,"")</f>
        <v/>
      </c>
      <c r="I92" s="7">
        <f>IFERROR(IF(F92&gt;=参数配置!$C$12,-H92,C92-H92),"")</f>
        <v/>
      </c>
      <c r="J92" s="29">
        <f>IFERROR(IF(F92&gt;=参数配置!$C$12,"全仓清仓",IF(H92&gt;C92,"卖出超额","正常定投")),"")</f>
        <v/>
      </c>
      <c r="K92" s="30">
        <f>IFERROR(I92,"")</f>
        <v/>
      </c>
      <c r="L92" s="17" t="n"/>
      <c r="M92" s="27" t="n"/>
      <c r="N92" s="31">
        <f>IFERROR(G92+M92,"")</f>
        <v/>
      </c>
      <c r="O92" s="7">
        <f>IFERROR(O91+L92,"")</f>
        <v/>
      </c>
      <c r="P92" s="7">
        <f>IFERROR(-L92,"")</f>
        <v/>
      </c>
      <c r="Q92" s="32" t="n"/>
    </row>
    <row r="93">
      <c r="A93" s="33" t="n"/>
      <c r="B93" s="15" t="n"/>
      <c r="C93" s="7">
        <f>IFERROR(参数配置!$C$5*(B93-$S$3),"")</f>
        <v/>
      </c>
      <c r="D93" s="27" t="n"/>
      <c r="E93" s="27" t="n"/>
      <c r="F93" s="28">
        <f>IFERROR((D93-E93)/E93,"")</f>
        <v/>
      </c>
      <c r="G93" s="27" t="n"/>
      <c r="H93" s="7">
        <f>IFERROR(G93*D93,"")</f>
        <v/>
      </c>
      <c r="I93" s="7">
        <f>IFERROR(IF(F93&gt;=参数配置!$C$12,-H93,C93-H93),"")</f>
        <v/>
      </c>
      <c r="J93" s="29">
        <f>IFERROR(IF(F93&gt;=参数配置!$C$12,"全仓清仓",IF(H93&gt;C93,"卖出超额","正常定投")),"")</f>
        <v/>
      </c>
      <c r="K93" s="30">
        <f>IFERROR(I93,"")</f>
        <v/>
      </c>
      <c r="L93" s="17" t="n"/>
      <c r="M93" s="27" t="n"/>
      <c r="N93" s="31">
        <f>IFERROR(G93+M93,"")</f>
        <v/>
      </c>
      <c r="O93" s="7">
        <f>IFERROR(O92+L93,"")</f>
        <v/>
      </c>
      <c r="P93" s="7">
        <f>IFERROR(-L93,"")</f>
        <v/>
      </c>
      <c r="Q93" s="32" t="n"/>
    </row>
    <row r="94">
      <c r="A94" s="33" t="n"/>
      <c r="B94" s="15" t="n"/>
      <c r="C94" s="7">
        <f>IFERROR(参数配置!$C$5*(B94-$S$3),"")</f>
        <v/>
      </c>
      <c r="D94" s="27" t="n"/>
      <c r="E94" s="27" t="n"/>
      <c r="F94" s="28">
        <f>IFERROR((D94-E94)/E94,"")</f>
        <v/>
      </c>
      <c r="G94" s="27" t="n"/>
      <c r="H94" s="7">
        <f>IFERROR(G94*D94,"")</f>
        <v/>
      </c>
      <c r="I94" s="7">
        <f>IFERROR(IF(F94&gt;=参数配置!$C$12,-H94,C94-H94),"")</f>
        <v/>
      </c>
      <c r="J94" s="29">
        <f>IFERROR(IF(F94&gt;=参数配置!$C$12,"全仓清仓",IF(H94&gt;C94,"卖出超额","正常定投")),"")</f>
        <v/>
      </c>
      <c r="K94" s="30">
        <f>IFERROR(I94,"")</f>
        <v/>
      </c>
      <c r="L94" s="17" t="n"/>
      <c r="M94" s="27" t="n"/>
      <c r="N94" s="31">
        <f>IFERROR(G94+M94,"")</f>
        <v/>
      </c>
      <c r="O94" s="7">
        <f>IFERROR(O93+L94,"")</f>
        <v/>
      </c>
      <c r="P94" s="7">
        <f>IFERROR(-L94,"")</f>
        <v/>
      </c>
      <c r="Q94" s="32" t="n"/>
    </row>
    <row r="95">
      <c r="A95" s="33" t="n"/>
      <c r="B95" s="15" t="n"/>
      <c r="C95" s="7">
        <f>IFERROR(参数配置!$C$5*(B95-$S$3),"")</f>
        <v/>
      </c>
      <c r="D95" s="27" t="n"/>
      <c r="E95" s="27" t="n"/>
      <c r="F95" s="28">
        <f>IFERROR((D95-E95)/E95,"")</f>
        <v/>
      </c>
      <c r="G95" s="27" t="n"/>
      <c r="H95" s="7">
        <f>IFERROR(G95*D95,"")</f>
        <v/>
      </c>
      <c r="I95" s="7">
        <f>IFERROR(IF(F95&gt;=参数配置!$C$12,-H95,C95-H95),"")</f>
        <v/>
      </c>
      <c r="J95" s="29">
        <f>IFERROR(IF(F95&gt;=参数配置!$C$12,"全仓清仓",IF(H95&gt;C95,"卖出超额","正常定投")),"")</f>
        <v/>
      </c>
      <c r="K95" s="30">
        <f>IFERROR(I95,"")</f>
        <v/>
      </c>
      <c r="L95" s="17" t="n"/>
      <c r="M95" s="27" t="n"/>
      <c r="N95" s="31">
        <f>IFERROR(G95+M95,"")</f>
        <v/>
      </c>
      <c r="O95" s="7">
        <f>IFERROR(O94+L95,"")</f>
        <v/>
      </c>
      <c r="P95" s="7">
        <f>IFERROR(-L95,"")</f>
        <v/>
      </c>
      <c r="Q95" s="32" t="n"/>
    </row>
    <row r="96">
      <c r="A96" s="33" t="n"/>
      <c r="B96" s="15" t="n"/>
      <c r="C96" s="7">
        <f>IFERROR(参数配置!$C$5*(B96-$S$3),"")</f>
        <v/>
      </c>
      <c r="D96" s="27" t="n"/>
      <c r="E96" s="27" t="n"/>
      <c r="F96" s="28">
        <f>IFERROR((D96-E96)/E96,"")</f>
        <v/>
      </c>
      <c r="G96" s="27" t="n"/>
      <c r="H96" s="7">
        <f>IFERROR(G96*D96,"")</f>
        <v/>
      </c>
      <c r="I96" s="7">
        <f>IFERROR(IF(F96&gt;=参数配置!$C$12,-H96,C96-H96),"")</f>
        <v/>
      </c>
      <c r="J96" s="29">
        <f>IFERROR(IF(F96&gt;=参数配置!$C$12,"全仓清仓",IF(H96&gt;C96,"卖出超额","正常定投")),"")</f>
        <v/>
      </c>
      <c r="K96" s="30">
        <f>IFERROR(I96,"")</f>
        <v/>
      </c>
      <c r="L96" s="17" t="n"/>
      <c r="M96" s="27" t="n"/>
      <c r="N96" s="31">
        <f>IFERROR(G96+M96,"")</f>
        <v/>
      </c>
      <c r="O96" s="7">
        <f>IFERROR(O95+L96,"")</f>
        <v/>
      </c>
      <c r="P96" s="7">
        <f>IFERROR(-L96,"")</f>
        <v/>
      </c>
      <c r="Q96" s="32" t="n"/>
    </row>
    <row r="97">
      <c r="A97" s="33" t="n"/>
      <c r="B97" s="15" t="n"/>
      <c r="C97" s="7">
        <f>IFERROR(参数配置!$C$5*(B97-$S$3),"")</f>
        <v/>
      </c>
      <c r="D97" s="27" t="n"/>
      <c r="E97" s="27" t="n"/>
      <c r="F97" s="28">
        <f>IFERROR((D97-E97)/E97,"")</f>
        <v/>
      </c>
      <c r="G97" s="27" t="n"/>
      <c r="H97" s="7">
        <f>IFERROR(G97*D97,"")</f>
        <v/>
      </c>
      <c r="I97" s="7">
        <f>IFERROR(IF(F97&gt;=参数配置!$C$12,-H97,C97-H97),"")</f>
        <v/>
      </c>
      <c r="J97" s="29">
        <f>IFERROR(IF(F97&gt;=参数配置!$C$12,"全仓清仓",IF(H97&gt;C97,"卖出超额","正常定投")),"")</f>
        <v/>
      </c>
      <c r="K97" s="30">
        <f>IFERROR(I97,"")</f>
        <v/>
      </c>
      <c r="L97" s="17" t="n"/>
      <c r="M97" s="27" t="n"/>
      <c r="N97" s="31">
        <f>IFERROR(G97+M97,"")</f>
        <v/>
      </c>
      <c r="O97" s="7">
        <f>IFERROR(O96+L97,"")</f>
        <v/>
      </c>
      <c r="P97" s="7">
        <f>IFERROR(-L97,"")</f>
        <v/>
      </c>
      <c r="Q97" s="32" t="n"/>
    </row>
    <row r="98">
      <c r="A98" s="33" t="n"/>
      <c r="B98" s="15" t="n"/>
      <c r="C98" s="7">
        <f>IFERROR(参数配置!$C$5*(B98-$S$3),"")</f>
        <v/>
      </c>
      <c r="D98" s="27" t="n"/>
      <c r="E98" s="27" t="n"/>
      <c r="F98" s="28">
        <f>IFERROR((D98-E98)/E98,"")</f>
        <v/>
      </c>
      <c r="G98" s="27" t="n"/>
      <c r="H98" s="7">
        <f>IFERROR(G98*D98,"")</f>
        <v/>
      </c>
      <c r="I98" s="7">
        <f>IFERROR(IF(F98&gt;=参数配置!$C$12,-H98,C98-H98),"")</f>
        <v/>
      </c>
      <c r="J98" s="29">
        <f>IFERROR(IF(F98&gt;=参数配置!$C$12,"全仓清仓",IF(H98&gt;C98,"卖出超额","正常定投")),"")</f>
        <v/>
      </c>
      <c r="K98" s="30">
        <f>IFERROR(I98,"")</f>
        <v/>
      </c>
      <c r="L98" s="17" t="n"/>
      <c r="M98" s="27" t="n"/>
      <c r="N98" s="31">
        <f>IFERROR(G98+M98,"")</f>
        <v/>
      </c>
      <c r="O98" s="7">
        <f>IFERROR(O97+L98,"")</f>
        <v/>
      </c>
      <c r="P98" s="7">
        <f>IFERROR(-L98,"")</f>
        <v/>
      </c>
      <c r="Q98" s="32" t="n"/>
    </row>
    <row r="99">
      <c r="A99" s="33" t="n"/>
      <c r="B99" s="15" t="n"/>
      <c r="C99" s="7">
        <f>IFERROR(参数配置!$C$5*(B99-$S$3),"")</f>
        <v/>
      </c>
      <c r="D99" s="27" t="n"/>
      <c r="E99" s="27" t="n"/>
      <c r="F99" s="28">
        <f>IFERROR((D99-E99)/E99,"")</f>
        <v/>
      </c>
      <c r="G99" s="27" t="n"/>
      <c r="H99" s="7">
        <f>IFERROR(G99*D99,"")</f>
        <v/>
      </c>
      <c r="I99" s="7">
        <f>IFERROR(IF(F99&gt;=参数配置!$C$12,-H99,C99-H99),"")</f>
        <v/>
      </c>
      <c r="J99" s="29">
        <f>IFERROR(IF(F99&gt;=参数配置!$C$12,"全仓清仓",IF(H99&gt;C99,"卖出超额","正常定投")),"")</f>
        <v/>
      </c>
      <c r="K99" s="30">
        <f>IFERROR(I99,"")</f>
        <v/>
      </c>
      <c r="L99" s="17" t="n"/>
      <c r="M99" s="27" t="n"/>
      <c r="N99" s="31">
        <f>IFERROR(G99+M99,"")</f>
        <v/>
      </c>
      <c r="O99" s="7">
        <f>IFERROR(O98+L99,"")</f>
        <v/>
      </c>
      <c r="P99" s="7">
        <f>IFERROR(-L99,"")</f>
        <v/>
      </c>
      <c r="Q99" s="32" t="n"/>
    </row>
    <row r="100">
      <c r="A100" s="33" t="n"/>
      <c r="B100" s="15" t="n"/>
      <c r="C100" s="7">
        <f>IFERROR(参数配置!$C$5*(B100-$S$3),"")</f>
        <v/>
      </c>
      <c r="D100" s="27" t="n"/>
      <c r="E100" s="27" t="n"/>
      <c r="F100" s="28">
        <f>IFERROR((D100-E100)/E100,"")</f>
        <v/>
      </c>
      <c r="G100" s="27" t="n"/>
      <c r="H100" s="7">
        <f>IFERROR(G100*D100,"")</f>
        <v/>
      </c>
      <c r="I100" s="7">
        <f>IFERROR(IF(F100&gt;=参数配置!$C$12,-H100,C100-H100),"")</f>
        <v/>
      </c>
      <c r="J100" s="29">
        <f>IFERROR(IF(F100&gt;=参数配置!$C$12,"全仓清仓",IF(H100&gt;C100,"卖出超额","正常定投")),"")</f>
        <v/>
      </c>
      <c r="K100" s="30">
        <f>IFERROR(I100,"")</f>
        <v/>
      </c>
      <c r="L100" s="17" t="n"/>
      <c r="M100" s="27" t="n"/>
      <c r="N100" s="31">
        <f>IFERROR(G100+M100,"")</f>
        <v/>
      </c>
      <c r="O100" s="7">
        <f>IFERROR(O99+L100,"")</f>
        <v/>
      </c>
      <c r="P100" s="7">
        <f>IFERROR(-L100,"")</f>
        <v/>
      </c>
      <c r="Q100" s="32" t="n"/>
    </row>
    <row r="101">
      <c r="A101" s="33" t="n"/>
      <c r="B101" s="15" t="n"/>
      <c r="C101" s="7">
        <f>IFERROR(参数配置!$C$5*(B101-$S$3),"")</f>
        <v/>
      </c>
      <c r="D101" s="27" t="n"/>
      <c r="E101" s="27" t="n"/>
      <c r="F101" s="28">
        <f>IFERROR((D101-E101)/E101,"")</f>
        <v/>
      </c>
      <c r="G101" s="27" t="n"/>
      <c r="H101" s="7">
        <f>IFERROR(G101*D101,"")</f>
        <v/>
      </c>
      <c r="I101" s="7">
        <f>IFERROR(IF(F101&gt;=参数配置!$C$12,-H101,C101-H101),"")</f>
        <v/>
      </c>
      <c r="J101" s="29">
        <f>IFERROR(IF(F101&gt;=参数配置!$C$12,"全仓清仓",IF(H101&gt;C101,"卖出超额","正常定投")),"")</f>
        <v/>
      </c>
      <c r="K101" s="30">
        <f>IFERROR(I101,"")</f>
        <v/>
      </c>
      <c r="L101" s="17" t="n"/>
      <c r="M101" s="27" t="n"/>
      <c r="N101" s="31">
        <f>IFERROR(G101+M101,"")</f>
        <v/>
      </c>
      <c r="O101" s="7">
        <f>IFERROR(O100+L101,"")</f>
        <v/>
      </c>
      <c r="P101" s="7">
        <f>IFERROR(-L101,"")</f>
        <v/>
      </c>
      <c r="Q101" s="32" t="n"/>
    </row>
    <row r="102">
      <c r="A102" s="33" t="n"/>
      <c r="B102" s="15" t="n"/>
      <c r="C102" s="7">
        <f>IFERROR(参数配置!$C$5*(B102-$S$3),"")</f>
        <v/>
      </c>
      <c r="D102" s="27" t="n"/>
      <c r="E102" s="27" t="n"/>
      <c r="F102" s="28">
        <f>IFERROR((D102-E102)/E102,"")</f>
        <v/>
      </c>
      <c r="G102" s="27" t="n"/>
      <c r="H102" s="7">
        <f>IFERROR(G102*D102,"")</f>
        <v/>
      </c>
      <c r="I102" s="7">
        <f>IFERROR(IF(F102&gt;=参数配置!$C$12,-H102,C102-H102),"")</f>
        <v/>
      </c>
      <c r="J102" s="29">
        <f>IFERROR(IF(F102&gt;=参数配置!$C$12,"全仓清仓",IF(H102&gt;C102,"卖出超额","正常定投")),"")</f>
        <v/>
      </c>
      <c r="K102" s="30">
        <f>IFERROR(I102,"")</f>
        <v/>
      </c>
      <c r="L102" s="17" t="n"/>
      <c r="M102" s="27" t="n"/>
      <c r="N102" s="31">
        <f>IFERROR(G102+M102,"")</f>
        <v/>
      </c>
      <c r="O102" s="7">
        <f>IFERROR(O101+L102,"")</f>
        <v/>
      </c>
      <c r="P102" s="7">
        <f>IFERROR(-L102,"")</f>
        <v/>
      </c>
      <c r="Q102" s="32" t="n"/>
    </row>
    <row r="103">
      <c r="A103" s="33" t="n"/>
      <c r="B103" s="15" t="n"/>
      <c r="C103" s="7">
        <f>IFERROR(参数配置!$C$5*(B103-$S$3),"")</f>
        <v/>
      </c>
      <c r="D103" s="27" t="n"/>
      <c r="E103" s="27" t="n"/>
      <c r="F103" s="28">
        <f>IFERROR((D103-E103)/E103,"")</f>
        <v/>
      </c>
      <c r="G103" s="27" t="n"/>
      <c r="H103" s="7">
        <f>IFERROR(G103*D103,"")</f>
        <v/>
      </c>
      <c r="I103" s="7">
        <f>IFERROR(IF(F103&gt;=参数配置!$C$12,-H103,C103-H103),"")</f>
        <v/>
      </c>
      <c r="J103" s="29">
        <f>IFERROR(IF(F103&gt;=参数配置!$C$12,"全仓清仓",IF(H103&gt;C103,"卖出超额","正常定投")),"")</f>
        <v/>
      </c>
      <c r="K103" s="30">
        <f>IFERROR(I103,"")</f>
        <v/>
      </c>
      <c r="L103" s="17" t="n"/>
      <c r="M103" s="27" t="n"/>
      <c r="N103" s="31">
        <f>IFERROR(G103+M103,"")</f>
        <v/>
      </c>
      <c r="O103" s="7">
        <f>IFERROR(O102+L103,"")</f>
        <v/>
      </c>
      <c r="P103" s="7">
        <f>IFERROR(-L103,"")</f>
        <v/>
      </c>
      <c r="Q103" s="32" t="n"/>
    </row>
    <row r="104">
      <c r="A104" s="33" t="n"/>
      <c r="B104" s="15" t="n"/>
      <c r="C104" s="7">
        <f>IFERROR(参数配置!$C$5*(B104-$S$3),"")</f>
        <v/>
      </c>
      <c r="D104" s="27" t="n"/>
      <c r="E104" s="27" t="n"/>
      <c r="F104" s="28">
        <f>IFERROR((D104-E104)/E104,"")</f>
        <v/>
      </c>
      <c r="G104" s="27" t="n"/>
      <c r="H104" s="7">
        <f>IFERROR(G104*D104,"")</f>
        <v/>
      </c>
      <c r="I104" s="7">
        <f>IFERROR(IF(F104&gt;=参数配置!$C$12,-H104,C104-H104),"")</f>
        <v/>
      </c>
      <c r="J104" s="29">
        <f>IFERROR(IF(F104&gt;=参数配置!$C$12,"全仓清仓",IF(H104&gt;C104,"卖出超额","正常定投")),"")</f>
        <v/>
      </c>
      <c r="K104" s="30">
        <f>IFERROR(I104,"")</f>
        <v/>
      </c>
      <c r="L104" s="17" t="n"/>
      <c r="M104" s="27" t="n"/>
      <c r="N104" s="31">
        <f>IFERROR(G104+M104,"")</f>
        <v/>
      </c>
      <c r="O104" s="7">
        <f>IFERROR(O103+L104,"")</f>
        <v/>
      </c>
      <c r="P104" s="7">
        <f>IFERROR(-L104,"")</f>
        <v/>
      </c>
      <c r="Q104" s="32" t="n"/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4" customWidth="1" min="15" max="15"/>
    <col width="12" customWidth="1" min="16" max="16"/>
    <col width="30" customWidth="1" min="17" max="17"/>
  </cols>
  <sheetData>
    <row r="1">
      <c r="A1" s="14" t="inlineStr">
        <is>
          <t>中证500 ETF — 定投追踪记录</t>
        </is>
      </c>
    </row>
    <row r="2">
      <c r="A2" s="2" t="inlineStr">
        <is>
          <t>黄色=手动填写  绿色=自动计算  蓝色=建议参考（可覆盖）</t>
        </is>
      </c>
    </row>
    <row r="3">
      <c r="A3" s="22" t="inlineStr">
        <is>
          <t>手动填写</t>
        </is>
      </c>
      <c r="B3" s="23" t="inlineStr">
        <is>
          <t>自动计算</t>
        </is>
      </c>
      <c r="C3" s="24" t="inlineStr">
        <is>
          <t>建议参考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25" t="inlineStr">
        <is>
          <t>期数偏移:</t>
        </is>
      </c>
      <c r="S3" s="26" t="n">
        <v>0</v>
      </c>
    </row>
    <row r="4" ht="32" customHeight="1">
      <c r="A4" s="4" t="inlineStr">
        <is>
          <t>日期</t>
        </is>
      </c>
      <c r="B4" s="4" t="inlineStr">
        <is>
          <t>期数</t>
        </is>
      </c>
      <c r="C4" s="4" t="inlineStr">
        <is>
          <t>目标市值</t>
        </is>
      </c>
      <c r="D4" s="4" t="inlineStr">
        <is>
          <t>当前价格</t>
        </is>
      </c>
      <c r="E4" s="4" t="inlineStr">
        <is>
          <t>250日均线</t>
        </is>
      </c>
      <c r="F4" s="4" t="inlineStr">
        <is>
          <t>均线偏离度</t>
        </is>
      </c>
      <c r="G4" s="4" t="inlineStr">
        <is>
          <t>持仓份额</t>
        </is>
      </c>
      <c r="H4" s="4" t="inlineStr">
        <is>
          <t>持仓市值</t>
        </is>
      </c>
      <c r="I4" s="4" t="inlineStr">
        <is>
          <t>建议操作金额</t>
        </is>
      </c>
      <c r="J4" s="4" t="inlineStr">
        <is>
          <t>建议操作</t>
        </is>
      </c>
      <c r="K4" s="4" t="inlineStr">
        <is>
          <t>建议金额</t>
        </is>
      </c>
      <c r="L4" s="4" t="inlineStr">
        <is>
          <t>实际操作(元)</t>
        </is>
      </c>
      <c r="M4" s="4" t="inlineStr">
        <is>
          <t>买卖份额</t>
        </is>
      </c>
      <c r="N4" s="4" t="inlineStr">
        <is>
          <t>操作后份额</t>
        </is>
      </c>
      <c r="O4" s="4" t="inlineStr">
        <is>
          <t>累计净投入</t>
        </is>
      </c>
      <c r="P4" s="4" t="inlineStr">
        <is>
          <t>储备金±</t>
        </is>
      </c>
      <c r="Q4" s="4" t="inlineStr">
        <is>
          <t>备注</t>
        </is>
      </c>
    </row>
    <row r="5">
      <c r="A5" s="33" t="inlineStr">
        <is>
          <t>2026-04-24</t>
        </is>
      </c>
      <c r="B5" s="15" t="n">
        <v>1</v>
      </c>
      <c r="C5" s="7">
        <f>IFERROR(参数配置!$C$6*(B5-$S$3),"")</f>
        <v/>
      </c>
      <c r="D5" s="27" t="n">
        <v>8.302</v>
      </c>
      <c r="E5" s="27" t="n">
        <v>7.0208</v>
      </c>
      <c r="F5" s="28">
        <f>IFERROR((D5-E5)/E5,"")</f>
        <v/>
      </c>
      <c r="G5" s="27" t="n">
        <v>0</v>
      </c>
      <c r="H5" s="7">
        <f>IFERROR(G5*D5,"")</f>
        <v/>
      </c>
      <c r="I5" s="7">
        <f>IFERROR(IF(F5&gt;=参数配置!$C$13,-H5,C5-H5),"")</f>
        <v/>
      </c>
      <c r="J5" s="29">
        <f>IFERROR(IF(F5&gt;=参数配置!$C$13,"全仓清仓",IF(H5&gt;C5,"卖出超额","正常定投")),"")</f>
        <v/>
      </c>
      <c r="K5" s="30">
        <f>IFERROR(I5,"")</f>
        <v/>
      </c>
      <c r="L5" s="17" t="n">
        <v>830.2</v>
      </c>
      <c r="M5" s="27" t="n">
        <v>100</v>
      </c>
      <c r="N5" s="31">
        <f>IFERROR(G5+M5,"")</f>
        <v/>
      </c>
      <c r="O5" s="7">
        <f>IFERROR(L5,"")</f>
        <v/>
      </c>
      <c r="P5" s="7">
        <f>IFERROR(-L5,"")</f>
        <v/>
      </c>
      <c r="Q5" s="32" t="n"/>
    </row>
    <row r="6">
      <c r="A6" s="33" t="inlineStr">
        <is>
          <t>2026-05-08</t>
        </is>
      </c>
      <c r="B6" s="15" t="n">
        <v>2</v>
      </c>
      <c r="C6" s="7">
        <f>IFERROR(参数配置!$C$6*(B6-$S$3),"")</f>
        <v/>
      </c>
      <c r="D6" s="27" t="n">
        <v>8.768000000000001</v>
      </c>
      <c r="E6" s="27" t="n">
        <v>7.1015</v>
      </c>
      <c r="F6" s="28">
        <f>IFERROR((D6-E6)/E6,"")</f>
        <v/>
      </c>
      <c r="G6" s="27" t="n">
        <v>100</v>
      </c>
      <c r="H6" s="7">
        <f>IFERROR(G6*D6,"")</f>
        <v/>
      </c>
      <c r="I6" s="7">
        <f>IFERROR(IF(F6&gt;=参数配置!$C$13,-H6,C6-H6),"")</f>
        <v/>
      </c>
      <c r="J6" s="29">
        <f>IFERROR(IF(F6&gt;=参数配置!$C$13,"全仓清仓",IF(H6&gt;C6,"卖出超额","正常定投")),"")</f>
        <v/>
      </c>
      <c r="K6" s="30">
        <f>IFERROR(I6,"")</f>
        <v/>
      </c>
      <c r="L6" s="17" t="n">
        <v>1753.6</v>
      </c>
      <c r="M6" s="27" t="n">
        <v>200</v>
      </c>
      <c r="N6" s="31">
        <f>IFERROR(G6+M6,"")</f>
        <v/>
      </c>
      <c r="O6" s="7">
        <f>IFERROR(O5+L6,"")</f>
        <v/>
      </c>
      <c r="P6" s="7">
        <f>IFERROR(-L6,"")</f>
        <v/>
      </c>
      <c r="Q6" s="32" t="n"/>
    </row>
    <row r="7">
      <c r="A7" s="33" t="inlineStr">
        <is>
          <t>2026-05-22</t>
        </is>
      </c>
      <c r="B7" s="15" t="n">
        <v>3</v>
      </c>
      <c r="C7" s="7">
        <f>IFERROR(参数配置!$C$6*(B7-$S$3),"")</f>
        <v/>
      </c>
      <c r="D7" s="27" t="n">
        <v>8.576000000000001</v>
      </c>
      <c r="E7" s="27" t="n">
        <v>7.2287</v>
      </c>
      <c r="F7" s="28">
        <f>IFERROR((D7-E7)/E7,"")</f>
        <v/>
      </c>
      <c r="G7" s="27" t="n">
        <v>300</v>
      </c>
      <c r="H7" s="7">
        <f>IFERROR(G7*D7,"")</f>
        <v/>
      </c>
      <c r="I7" s="7">
        <f>IFERROR(IF(F7&gt;=参数配置!$C$13,-H7,C7-H7),"")</f>
        <v/>
      </c>
      <c r="J7" s="29">
        <f>IFERROR(IF(F7&gt;=参数配置!$C$13,"全仓清仓",IF(H7&gt;C7,"卖出超额","正常定投")),"")</f>
        <v/>
      </c>
      <c r="K7" s="30">
        <f>IFERROR(I7,"")</f>
        <v/>
      </c>
      <c r="L7" s="17" t="n">
        <v>1715.2</v>
      </c>
      <c r="M7" s="27" t="n">
        <v>200</v>
      </c>
      <c r="N7" s="31">
        <f>IFERROR(G7+M7,"")</f>
        <v/>
      </c>
      <c r="O7" s="7">
        <f>IFERROR(O6+L7,"")</f>
        <v/>
      </c>
      <c r="P7" s="7">
        <f>IFERROR(-L7,"")</f>
        <v/>
      </c>
      <c r="Q7" s="32" t="n"/>
    </row>
    <row r="8">
      <c r="A8" s="33" t="n"/>
      <c r="B8" s="15" t="n"/>
      <c r="C8" s="7">
        <f>IFERROR(参数配置!$C$6*(B8-$S$3),"")</f>
        <v/>
      </c>
      <c r="D8" s="27" t="n"/>
      <c r="E8" s="27" t="n"/>
      <c r="F8" s="28">
        <f>IFERROR((D8-E8)/E8,"")</f>
        <v/>
      </c>
      <c r="G8" s="27" t="n"/>
      <c r="H8" s="7">
        <f>IFERROR(G8*D8,"")</f>
        <v/>
      </c>
      <c r="I8" s="7">
        <f>IFERROR(IF(F8&gt;=参数配置!$C$13,-H8,C8-H8),"")</f>
        <v/>
      </c>
      <c r="J8" s="29">
        <f>IFERROR(IF(F8&gt;=参数配置!$C$13,"全仓清仓",IF(H8&gt;C8,"卖出超额","正常定投")),"")</f>
        <v/>
      </c>
      <c r="K8" s="30">
        <f>IFERROR(I8,"")</f>
        <v/>
      </c>
      <c r="L8" s="17" t="n"/>
      <c r="M8" s="27" t="n"/>
      <c r="N8" s="31">
        <f>IFERROR(G8+M8,"")</f>
        <v/>
      </c>
      <c r="O8" s="7">
        <f>IFERROR(O7+L8,"")</f>
        <v/>
      </c>
      <c r="P8" s="7">
        <f>IFERROR(-L8,"")</f>
        <v/>
      </c>
      <c r="Q8" s="32" t="n"/>
    </row>
    <row r="9">
      <c r="A9" s="33" t="n"/>
      <c r="B9" s="15" t="n"/>
      <c r="C9" s="7">
        <f>IFERROR(参数配置!$C$6*(B9-$S$3),"")</f>
        <v/>
      </c>
      <c r="D9" s="27" t="n"/>
      <c r="E9" s="27" t="n"/>
      <c r="F9" s="28">
        <f>IFERROR((D9-E9)/E9,"")</f>
        <v/>
      </c>
      <c r="G9" s="27" t="n"/>
      <c r="H9" s="7">
        <f>IFERROR(G9*D9,"")</f>
        <v/>
      </c>
      <c r="I9" s="7">
        <f>IFERROR(IF(F9&gt;=参数配置!$C$13,-H9,C9-H9),"")</f>
        <v/>
      </c>
      <c r="J9" s="29">
        <f>IFERROR(IF(F9&gt;=参数配置!$C$13,"全仓清仓",IF(H9&gt;C9,"卖出超额","正常定投")),"")</f>
        <v/>
      </c>
      <c r="K9" s="30">
        <f>IFERROR(I9,"")</f>
        <v/>
      </c>
      <c r="L9" s="17" t="n"/>
      <c r="M9" s="27" t="n"/>
      <c r="N9" s="31">
        <f>IFERROR(G9+M9,"")</f>
        <v/>
      </c>
      <c r="O9" s="7">
        <f>IFERROR(O8+L9,"")</f>
        <v/>
      </c>
      <c r="P9" s="7">
        <f>IFERROR(-L9,"")</f>
        <v/>
      </c>
      <c r="Q9" s="32" t="n"/>
    </row>
    <row r="10">
      <c r="A10" s="33" t="n"/>
      <c r="B10" s="15" t="n"/>
      <c r="C10" s="7">
        <f>IFERROR(参数配置!$C$6*(B10-$S$3),"")</f>
        <v/>
      </c>
      <c r="D10" s="27" t="n"/>
      <c r="E10" s="27" t="n"/>
      <c r="F10" s="28">
        <f>IFERROR((D10-E10)/E10,"")</f>
        <v/>
      </c>
      <c r="G10" s="27" t="n"/>
      <c r="H10" s="7">
        <f>IFERROR(G10*D10,"")</f>
        <v/>
      </c>
      <c r="I10" s="7">
        <f>IFERROR(IF(F10&gt;=参数配置!$C$13,-H10,C10-H10),"")</f>
        <v/>
      </c>
      <c r="J10" s="29">
        <f>IFERROR(IF(F10&gt;=参数配置!$C$13,"全仓清仓",IF(H10&gt;C10,"卖出超额","正常定投")),"")</f>
        <v/>
      </c>
      <c r="K10" s="30">
        <f>IFERROR(I10,"")</f>
        <v/>
      </c>
      <c r="L10" s="17" t="n"/>
      <c r="M10" s="27" t="n"/>
      <c r="N10" s="31">
        <f>IFERROR(G10+M10,"")</f>
        <v/>
      </c>
      <c r="O10" s="7">
        <f>IFERROR(O9+L10,"")</f>
        <v/>
      </c>
      <c r="P10" s="7">
        <f>IFERROR(-L10,"")</f>
        <v/>
      </c>
      <c r="Q10" s="32" t="n"/>
    </row>
    <row r="11">
      <c r="A11" s="33" t="n"/>
      <c r="B11" s="15" t="n"/>
      <c r="C11" s="7">
        <f>IFERROR(参数配置!$C$6*(B11-$S$3),"")</f>
        <v/>
      </c>
      <c r="D11" s="27" t="n"/>
      <c r="E11" s="27" t="n"/>
      <c r="F11" s="28">
        <f>IFERROR((D11-E11)/E11,"")</f>
        <v/>
      </c>
      <c r="G11" s="27" t="n"/>
      <c r="H11" s="7">
        <f>IFERROR(G11*D11,"")</f>
        <v/>
      </c>
      <c r="I11" s="7">
        <f>IFERROR(IF(F11&gt;=参数配置!$C$13,-H11,C11-H11),"")</f>
        <v/>
      </c>
      <c r="J11" s="29">
        <f>IFERROR(IF(F11&gt;=参数配置!$C$13,"全仓清仓",IF(H11&gt;C11,"卖出超额","正常定投")),"")</f>
        <v/>
      </c>
      <c r="K11" s="30">
        <f>IFERROR(I11,"")</f>
        <v/>
      </c>
      <c r="L11" s="17" t="n"/>
      <c r="M11" s="27" t="n"/>
      <c r="N11" s="31">
        <f>IFERROR(G11+M11,"")</f>
        <v/>
      </c>
      <c r="O11" s="7">
        <f>IFERROR(O10+L11,"")</f>
        <v/>
      </c>
      <c r="P11" s="7">
        <f>IFERROR(-L11,"")</f>
        <v/>
      </c>
      <c r="Q11" s="32" t="n"/>
    </row>
    <row r="12">
      <c r="A12" s="33" t="n"/>
      <c r="B12" s="15" t="n"/>
      <c r="C12" s="7">
        <f>IFERROR(参数配置!$C$6*(B12-$S$3),"")</f>
        <v/>
      </c>
      <c r="D12" s="27" t="n"/>
      <c r="E12" s="27" t="n"/>
      <c r="F12" s="28">
        <f>IFERROR((D12-E12)/E12,"")</f>
        <v/>
      </c>
      <c r="G12" s="27" t="n"/>
      <c r="H12" s="7">
        <f>IFERROR(G12*D12,"")</f>
        <v/>
      </c>
      <c r="I12" s="7">
        <f>IFERROR(IF(F12&gt;=参数配置!$C$13,-H12,C12-H12),"")</f>
        <v/>
      </c>
      <c r="J12" s="29">
        <f>IFERROR(IF(F12&gt;=参数配置!$C$13,"全仓清仓",IF(H12&gt;C12,"卖出超额","正常定投")),"")</f>
        <v/>
      </c>
      <c r="K12" s="30">
        <f>IFERROR(I12,"")</f>
        <v/>
      </c>
      <c r="L12" s="17" t="n"/>
      <c r="M12" s="27" t="n"/>
      <c r="N12" s="31">
        <f>IFERROR(G12+M12,"")</f>
        <v/>
      </c>
      <c r="O12" s="7">
        <f>IFERROR(O11+L12,"")</f>
        <v/>
      </c>
      <c r="P12" s="7">
        <f>IFERROR(-L12,"")</f>
        <v/>
      </c>
      <c r="Q12" s="32" t="n"/>
    </row>
    <row r="13">
      <c r="A13" s="33" t="n"/>
      <c r="B13" s="15" t="n"/>
      <c r="C13" s="7">
        <f>IFERROR(参数配置!$C$6*(B13-$S$3),"")</f>
        <v/>
      </c>
      <c r="D13" s="27" t="n"/>
      <c r="E13" s="27" t="n"/>
      <c r="F13" s="28">
        <f>IFERROR((D13-E13)/E13,"")</f>
        <v/>
      </c>
      <c r="G13" s="27" t="n"/>
      <c r="H13" s="7">
        <f>IFERROR(G13*D13,"")</f>
        <v/>
      </c>
      <c r="I13" s="7">
        <f>IFERROR(IF(F13&gt;=参数配置!$C$13,-H13,C13-H13),"")</f>
        <v/>
      </c>
      <c r="J13" s="29">
        <f>IFERROR(IF(F13&gt;=参数配置!$C$13,"全仓清仓",IF(H13&gt;C13,"卖出超额","正常定投")),"")</f>
        <v/>
      </c>
      <c r="K13" s="30">
        <f>IFERROR(I13,"")</f>
        <v/>
      </c>
      <c r="L13" s="17" t="n"/>
      <c r="M13" s="27" t="n"/>
      <c r="N13" s="31">
        <f>IFERROR(G13+M13,"")</f>
        <v/>
      </c>
      <c r="O13" s="7">
        <f>IFERROR(O12+L13,"")</f>
        <v/>
      </c>
      <c r="P13" s="7">
        <f>IFERROR(-L13,"")</f>
        <v/>
      </c>
      <c r="Q13" s="32" t="n"/>
    </row>
    <row r="14">
      <c r="A14" s="33" t="n"/>
      <c r="B14" s="15" t="n"/>
      <c r="C14" s="7">
        <f>IFERROR(参数配置!$C$6*(B14-$S$3),"")</f>
        <v/>
      </c>
      <c r="D14" s="27" t="n"/>
      <c r="E14" s="27" t="n"/>
      <c r="F14" s="28">
        <f>IFERROR((D14-E14)/E14,"")</f>
        <v/>
      </c>
      <c r="G14" s="27" t="n"/>
      <c r="H14" s="7">
        <f>IFERROR(G14*D14,"")</f>
        <v/>
      </c>
      <c r="I14" s="7">
        <f>IFERROR(IF(F14&gt;=参数配置!$C$13,-H14,C14-H14),"")</f>
        <v/>
      </c>
      <c r="J14" s="29">
        <f>IFERROR(IF(F14&gt;=参数配置!$C$13,"全仓清仓",IF(H14&gt;C14,"卖出超额","正常定投")),"")</f>
        <v/>
      </c>
      <c r="K14" s="30">
        <f>IFERROR(I14,"")</f>
        <v/>
      </c>
      <c r="L14" s="17" t="n"/>
      <c r="M14" s="27" t="n"/>
      <c r="N14" s="31">
        <f>IFERROR(G14+M14,"")</f>
        <v/>
      </c>
      <c r="O14" s="7">
        <f>IFERROR(O13+L14,"")</f>
        <v/>
      </c>
      <c r="P14" s="7">
        <f>IFERROR(-L14,"")</f>
        <v/>
      </c>
      <c r="Q14" s="32" t="n"/>
    </row>
    <row r="15">
      <c r="A15" s="33" t="n"/>
      <c r="B15" s="15" t="n"/>
      <c r="C15" s="7">
        <f>IFERROR(参数配置!$C$6*(B15-$S$3),"")</f>
        <v/>
      </c>
      <c r="D15" s="27" t="n"/>
      <c r="E15" s="27" t="n"/>
      <c r="F15" s="28">
        <f>IFERROR((D15-E15)/E15,"")</f>
        <v/>
      </c>
      <c r="G15" s="27" t="n"/>
      <c r="H15" s="7">
        <f>IFERROR(G15*D15,"")</f>
        <v/>
      </c>
      <c r="I15" s="7">
        <f>IFERROR(IF(F15&gt;=参数配置!$C$13,-H15,C15-H15),"")</f>
        <v/>
      </c>
      <c r="J15" s="29">
        <f>IFERROR(IF(F15&gt;=参数配置!$C$13,"全仓清仓",IF(H15&gt;C15,"卖出超额","正常定投")),"")</f>
        <v/>
      </c>
      <c r="K15" s="30">
        <f>IFERROR(I15,"")</f>
        <v/>
      </c>
      <c r="L15" s="17" t="n"/>
      <c r="M15" s="27" t="n"/>
      <c r="N15" s="31">
        <f>IFERROR(G15+M15,"")</f>
        <v/>
      </c>
      <c r="O15" s="7">
        <f>IFERROR(O14+L15,"")</f>
        <v/>
      </c>
      <c r="P15" s="7">
        <f>IFERROR(-L15,"")</f>
        <v/>
      </c>
      <c r="Q15" s="32" t="n"/>
    </row>
    <row r="16">
      <c r="A16" s="33" t="n"/>
      <c r="B16" s="15" t="n"/>
      <c r="C16" s="7">
        <f>IFERROR(参数配置!$C$6*(B16-$S$3),"")</f>
        <v/>
      </c>
      <c r="D16" s="27" t="n"/>
      <c r="E16" s="27" t="n"/>
      <c r="F16" s="28">
        <f>IFERROR((D16-E16)/E16,"")</f>
        <v/>
      </c>
      <c r="G16" s="27" t="n"/>
      <c r="H16" s="7">
        <f>IFERROR(G16*D16,"")</f>
        <v/>
      </c>
      <c r="I16" s="7">
        <f>IFERROR(IF(F16&gt;=参数配置!$C$13,-H16,C16-H16),"")</f>
        <v/>
      </c>
      <c r="J16" s="29">
        <f>IFERROR(IF(F16&gt;=参数配置!$C$13,"全仓清仓",IF(H16&gt;C16,"卖出超额","正常定投")),"")</f>
        <v/>
      </c>
      <c r="K16" s="30">
        <f>IFERROR(I16,"")</f>
        <v/>
      </c>
      <c r="L16" s="17" t="n"/>
      <c r="M16" s="27" t="n"/>
      <c r="N16" s="31">
        <f>IFERROR(G16+M16,"")</f>
        <v/>
      </c>
      <c r="O16" s="7">
        <f>IFERROR(O15+L16,"")</f>
        <v/>
      </c>
      <c r="P16" s="7">
        <f>IFERROR(-L16,"")</f>
        <v/>
      </c>
      <c r="Q16" s="32" t="n"/>
    </row>
    <row r="17">
      <c r="A17" s="33" t="n"/>
      <c r="B17" s="15" t="n"/>
      <c r="C17" s="7">
        <f>IFERROR(参数配置!$C$6*(B17-$S$3),"")</f>
        <v/>
      </c>
      <c r="D17" s="27" t="n"/>
      <c r="E17" s="27" t="n"/>
      <c r="F17" s="28">
        <f>IFERROR((D17-E17)/E17,"")</f>
        <v/>
      </c>
      <c r="G17" s="27" t="n"/>
      <c r="H17" s="7">
        <f>IFERROR(G17*D17,"")</f>
        <v/>
      </c>
      <c r="I17" s="7">
        <f>IFERROR(IF(F17&gt;=参数配置!$C$13,-H17,C17-H17),"")</f>
        <v/>
      </c>
      <c r="J17" s="29">
        <f>IFERROR(IF(F17&gt;=参数配置!$C$13,"全仓清仓",IF(H17&gt;C17,"卖出超额","正常定投")),"")</f>
        <v/>
      </c>
      <c r="K17" s="30">
        <f>IFERROR(I17,"")</f>
        <v/>
      </c>
      <c r="L17" s="17" t="n"/>
      <c r="M17" s="27" t="n"/>
      <c r="N17" s="31">
        <f>IFERROR(G17+M17,"")</f>
        <v/>
      </c>
      <c r="O17" s="7">
        <f>IFERROR(O16+L17,"")</f>
        <v/>
      </c>
      <c r="P17" s="7">
        <f>IFERROR(-L17,"")</f>
        <v/>
      </c>
      <c r="Q17" s="32" t="n"/>
    </row>
    <row r="18">
      <c r="A18" s="33" t="n"/>
      <c r="B18" s="15" t="n"/>
      <c r="C18" s="7">
        <f>IFERROR(参数配置!$C$6*(B18-$S$3),"")</f>
        <v/>
      </c>
      <c r="D18" s="27" t="n"/>
      <c r="E18" s="27" t="n"/>
      <c r="F18" s="28">
        <f>IFERROR((D18-E18)/E18,"")</f>
        <v/>
      </c>
      <c r="G18" s="27" t="n"/>
      <c r="H18" s="7">
        <f>IFERROR(G18*D18,"")</f>
        <v/>
      </c>
      <c r="I18" s="7">
        <f>IFERROR(IF(F18&gt;=参数配置!$C$13,-H18,C18-H18),"")</f>
        <v/>
      </c>
      <c r="J18" s="29">
        <f>IFERROR(IF(F18&gt;=参数配置!$C$13,"全仓清仓",IF(H18&gt;C18,"卖出超额","正常定投")),"")</f>
        <v/>
      </c>
      <c r="K18" s="30">
        <f>IFERROR(I18,"")</f>
        <v/>
      </c>
      <c r="L18" s="17" t="n"/>
      <c r="M18" s="27" t="n"/>
      <c r="N18" s="31">
        <f>IFERROR(G18+M18,"")</f>
        <v/>
      </c>
      <c r="O18" s="7">
        <f>IFERROR(O17+L18,"")</f>
        <v/>
      </c>
      <c r="P18" s="7">
        <f>IFERROR(-L18,"")</f>
        <v/>
      </c>
      <c r="Q18" s="32" t="n"/>
    </row>
    <row r="19">
      <c r="A19" s="33" t="n"/>
      <c r="B19" s="15" t="n"/>
      <c r="C19" s="7">
        <f>IFERROR(参数配置!$C$6*(B19-$S$3),"")</f>
        <v/>
      </c>
      <c r="D19" s="27" t="n"/>
      <c r="E19" s="27" t="n"/>
      <c r="F19" s="28">
        <f>IFERROR((D19-E19)/E19,"")</f>
        <v/>
      </c>
      <c r="G19" s="27" t="n"/>
      <c r="H19" s="7">
        <f>IFERROR(G19*D19,"")</f>
        <v/>
      </c>
      <c r="I19" s="7">
        <f>IFERROR(IF(F19&gt;=参数配置!$C$13,-H19,C19-H19),"")</f>
        <v/>
      </c>
      <c r="J19" s="29">
        <f>IFERROR(IF(F19&gt;=参数配置!$C$13,"全仓清仓",IF(H19&gt;C19,"卖出超额","正常定投")),"")</f>
        <v/>
      </c>
      <c r="K19" s="30">
        <f>IFERROR(I19,"")</f>
        <v/>
      </c>
      <c r="L19" s="17" t="n"/>
      <c r="M19" s="27" t="n"/>
      <c r="N19" s="31">
        <f>IFERROR(G19+M19,"")</f>
        <v/>
      </c>
      <c r="O19" s="7">
        <f>IFERROR(O18+L19,"")</f>
        <v/>
      </c>
      <c r="P19" s="7">
        <f>IFERROR(-L19,"")</f>
        <v/>
      </c>
      <c r="Q19" s="32" t="n"/>
    </row>
    <row r="20">
      <c r="A20" s="33" t="n"/>
      <c r="B20" s="15" t="n"/>
      <c r="C20" s="7">
        <f>IFERROR(参数配置!$C$6*(B20-$S$3),"")</f>
        <v/>
      </c>
      <c r="D20" s="27" t="n"/>
      <c r="E20" s="27" t="n"/>
      <c r="F20" s="28">
        <f>IFERROR((D20-E20)/E20,"")</f>
        <v/>
      </c>
      <c r="G20" s="27" t="n"/>
      <c r="H20" s="7">
        <f>IFERROR(G20*D20,"")</f>
        <v/>
      </c>
      <c r="I20" s="7">
        <f>IFERROR(IF(F20&gt;=参数配置!$C$13,-H20,C20-H20),"")</f>
        <v/>
      </c>
      <c r="J20" s="29">
        <f>IFERROR(IF(F20&gt;=参数配置!$C$13,"全仓清仓",IF(H20&gt;C20,"卖出超额","正常定投")),"")</f>
        <v/>
      </c>
      <c r="K20" s="30">
        <f>IFERROR(I20,"")</f>
        <v/>
      </c>
      <c r="L20" s="17" t="n"/>
      <c r="M20" s="27" t="n"/>
      <c r="N20" s="31">
        <f>IFERROR(G20+M20,"")</f>
        <v/>
      </c>
      <c r="O20" s="7">
        <f>IFERROR(O19+L20,"")</f>
        <v/>
      </c>
      <c r="P20" s="7">
        <f>IFERROR(-L20,"")</f>
        <v/>
      </c>
      <c r="Q20" s="32" t="n"/>
    </row>
    <row r="21">
      <c r="A21" s="33" t="n"/>
      <c r="B21" s="15" t="n"/>
      <c r="C21" s="7">
        <f>IFERROR(参数配置!$C$6*(B21-$S$3),"")</f>
        <v/>
      </c>
      <c r="D21" s="27" t="n"/>
      <c r="E21" s="27" t="n"/>
      <c r="F21" s="28">
        <f>IFERROR((D21-E21)/E21,"")</f>
        <v/>
      </c>
      <c r="G21" s="27" t="n"/>
      <c r="H21" s="7">
        <f>IFERROR(G21*D21,"")</f>
        <v/>
      </c>
      <c r="I21" s="7">
        <f>IFERROR(IF(F21&gt;=参数配置!$C$13,-H21,C21-H21),"")</f>
        <v/>
      </c>
      <c r="J21" s="29">
        <f>IFERROR(IF(F21&gt;=参数配置!$C$13,"全仓清仓",IF(H21&gt;C21,"卖出超额","正常定投")),"")</f>
        <v/>
      </c>
      <c r="K21" s="30">
        <f>IFERROR(I21,"")</f>
        <v/>
      </c>
      <c r="L21" s="17" t="n"/>
      <c r="M21" s="27" t="n"/>
      <c r="N21" s="31">
        <f>IFERROR(G21+M21,"")</f>
        <v/>
      </c>
      <c r="O21" s="7">
        <f>IFERROR(O20+L21,"")</f>
        <v/>
      </c>
      <c r="P21" s="7">
        <f>IFERROR(-L21,"")</f>
        <v/>
      </c>
      <c r="Q21" s="32" t="n"/>
    </row>
    <row r="22">
      <c r="A22" s="33" t="n"/>
      <c r="B22" s="15" t="n"/>
      <c r="C22" s="7">
        <f>IFERROR(参数配置!$C$6*(B22-$S$3),"")</f>
        <v/>
      </c>
      <c r="D22" s="27" t="n"/>
      <c r="E22" s="27" t="n"/>
      <c r="F22" s="28">
        <f>IFERROR((D22-E22)/E22,"")</f>
        <v/>
      </c>
      <c r="G22" s="27" t="n"/>
      <c r="H22" s="7">
        <f>IFERROR(G22*D22,"")</f>
        <v/>
      </c>
      <c r="I22" s="7">
        <f>IFERROR(IF(F22&gt;=参数配置!$C$13,-H22,C22-H22),"")</f>
        <v/>
      </c>
      <c r="J22" s="29">
        <f>IFERROR(IF(F22&gt;=参数配置!$C$13,"全仓清仓",IF(H22&gt;C22,"卖出超额","正常定投")),"")</f>
        <v/>
      </c>
      <c r="K22" s="30">
        <f>IFERROR(I22,"")</f>
        <v/>
      </c>
      <c r="L22" s="17" t="n"/>
      <c r="M22" s="27" t="n"/>
      <c r="N22" s="31">
        <f>IFERROR(G22+M22,"")</f>
        <v/>
      </c>
      <c r="O22" s="7">
        <f>IFERROR(O21+L22,"")</f>
        <v/>
      </c>
      <c r="P22" s="7">
        <f>IFERROR(-L22,"")</f>
        <v/>
      </c>
      <c r="Q22" s="32" t="n"/>
    </row>
    <row r="23">
      <c r="A23" s="33" t="n"/>
      <c r="B23" s="15" t="n"/>
      <c r="C23" s="7">
        <f>IFERROR(参数配置!$C$6*(B23-$S$3),"")</f>
        <v/>
      </c>
      <c r="D23" s="27" t="n"/>
      <c r="E23" s="27" t="n"/>
      <c r="F23" s="28">
        <f>IFERROR((D23-E23)/E23,"")</f>
        <v/>
      </c>
      <c r="G23" s="27" t="n"/>
      <c r="H23" s="7">
        <f>IFERROR(G23*D23,"")</f>
        <v/>
      </c>
      <c r="I23" s="7">
        <f>IFERROR(IF(F23&gt;=参数配置!$C$13,-H23,C23-H23),"")</f>
        <v/>
      </c>
      <c r="J23" s="29">
        <f>IFERROR(IF(F23&gt;=参数配置!$C$13,"全仓清仓",IF(H23&gt;C23,"卖出超额","正常定投")),"")</f>
        <v/>
      </c>
      <c r="K23" s="30">
        <f>IFERROR(I23,"")</f>
        <v/>
      </c>
      <c r="L23" s="17" t="n"/>
      <c r="M23" s="27" t="n"/>
      <c r="N23" s="31">
        <f>IFERROR(G23+M23,"")</f>
        <v/>
      </c>
      <c r="O23" s="7">
        <f>IFERROR(O22+L23,"")</f>
        <v/>
      </c>
      <c r="P23" s="7">
        <f>IFERROR(-L23,"")</f>
        <v/>
      </c>
      <c r="Q23" s="32" t="n"/>
    </row>
    <row r="24">
      <c r="A24" s="33" t="n"/>
      <c r="B24" s="15" t="n"/>
      <c r="C24" s="7">
        <f>IFERROR(参数配置!$C$6*(B24-$S$3),"")</f>
        <v/>
      </c>
      <c r="D24" s="27" t="n"/>
      <c r="E24" s="27" t="n"/>
      <c r="F24" s="28">
        <f>IFERROR((D24-E24)/E24,"")</f>
        <v/>
      </c>
      <c r="G24" s="27" t="n"/>
      <c r="H24" s="7">
        <f>IFERROR(G24*D24,"")</f>
        <v/>
      </c>
      <c r="I24" s="7">
        <f>IFERROR(IF(F24&gt;=参数配置!$C$13,-H24,C24-H24),"")</f>
        <v/>
      </c>
      <c r="J24" s="29">
        <f>IFERROR(IF(F24&gt;=参数配置!$C$13,"全仓清仓",IF(H24&gt;C24,"卖出超额","正常定投")),"")</f>
        <v/>
      </c>
      <c r="K24" s="30">
        <f>IFERROR(I24,"")</f>
        <v/>
      </c>
      <c r="L24" s="17" t="n"/>
      <c r="M24" s="27" t="n"/>
      <c r="N24" s="31">
        <f>IFERROR(G24+M24,"")</f>
        <v/>
      </c>
      <c r="O24" s="7">
        <f>IFERROR(O23+L24,"")</f>
        <v/>
      </c>
      <c r="P24" s="7">
        <f>IFERROR(-L24,"")</f>
        <v/>
      </c>
      <c r="Q24" s="32" t="n"/>
    </row>
    <row r="25">
      <c r="A25" s="33" t="n"/>
      <c r="B25" s="15" t="n"/>
      <c r="C25" s="7">
        <f>IFERROR(参数配置!$C$6*(B25-$S$3),"")</f>
        <v/>
      </c>
      <c r="D25" s="27" t="n"/>
      <c r="E25" s="27" t="n"/>
      <c r="F25" s="28">
        <f>IFERROR((D25-E25)/E25,"")</f>
        <v/>
      </c>
      <c r="G25" s="27" t="n"/>
      <c r="H25" s="7">
        <f>IFERROR(G25*D25,"")</f>
        <v/>
      </c>
      <c r="I25" s="7">
        <f>IFERROR(IF(F25&gt;=参数配置!$C$13,-H25,C25-H25),"")</f>
        <v/>
      </c>
      <c r="J25" s="29">
        <f>IFERROR(IF(F25&gt;=参数配置!$C$13,"全仓清仓",IF(H25&gt;C25,"卖出超额","正常定投")),"")</f>
        <v/>
      </c>
      <c r="K25" s="30">
        <f>IFERROR(I25,"")</f>
        <v/>
      </c>
      <c r="L25" s="17" t="n"/>
      <c r="M25" s="27" t="n"/>
      <c r="N25" s="31">
        <f>IFERROR(G25+M25,"")</f>
        <v/>
      </c>
      <c r="O25" s="7">
        <f>IFERROR(O24+L25,"")</f>
        <v/>
      </c>
      <c r="P25" s="7">
        <f>IFERROR(-L25,"")</f>
        <v/>
      </c>
      <c r="Q25" s="32" t="n"/>
    </row>
    <row r="26">
      <c r="A26" s="33" t="n"/>
      <c r="B26" s="15" t="n"/>
      <c r="C26" s="7">
        <f>IFERROR(参数配置!$C$6*(B26-$S$3),"")</f>
        <v/>
      </c>
      <c r="D26" s="27" t="n"/>
      <c r="E26" s="27" t="n"/>
      <c r="F26" s="28">
        <f>IFERROR((D26-E26)/E26,"")</f>
        <v/>
      </c>
      <c r="G26" s="27" t="n"/>
      <c r="H26" s="7">
        <f>IFERROR(G26*D26,"")</f>
        <v/>
      </c>
      <c r="I26" s="7">
        <f>IFERROR(IF(F26&gt;=参数配置!$C$13,-H26,C26-H26),"")</f>
        <v/>
      </c>
      <c r="J26" s="29">
        <f>IFERROR(IF(F26&gt;=参数配置!$C$13,"全仓清仓",IF(H26&gt;C26,"卖出超额","正常定投")),"")</f>
        <v/>
      </c>
      <c r="K26" s="30">
        <f>IFERROR(I26,"")</f>
        <v/>
      </c>
      <c r="L26" s="17" t="n"/>
      <c r="M26" s="27" t="n"/>
      <c r="N26" s="31">
        <f>IFERROR(G26+M26,"")</f>
        <v/>
      </c>
      <c r="O26" s="7">
        <f>IFERROR(O25+L26,"")</f>
        <v/>
      </c>
      <c r="P26" s="7">
        <f>IFERROR(-L26,"")</f>
        <v/>
      </c>
      <c r="Q26" s="32" t="n"/>
    </row>
    <row r="27">
      <c r="A27" s="33" t="n"/>
      <c r="B27" s="15" t="n"/>
      <c r="C27" s="7">
        <f>IFERROR(参数配置!$C$6*(B27-$S$3),"")</f>
        <v/>
      </c>
      <c r="D27" s="27" t="n"/>
      <c r="E27" s="27" t="n"/>
      <c r="F27" s="28">
        <f>IFERROR((D27-E27)/E27,"")</f>
        <v/>
      </c>
      <c r="G27" s="27" t="n"/>
      <c r="H27" s="7">
        <f>IFERROR(G27*D27,"")</f>
        <v/>
      </c>
      <c r="I27" s="7">
        <f>IFERROR(IF(F27&gt;=参数配置!$C$13,-H27,C27-H27),"")</f>
        <v/>
      </c>
      <c r="J27" s="29">
        <f>IFERROR(IF(F27&gt;=参数配置!$C$13,"全仓清仓",IF(H27&gt;C27,"卖出超额","正常定投")),"")</f>
        <v/>
      </c>
      <c r="K27" s="30">
        <f>IFERROR(I27,"")</f>
        <v/>
      </c>
      <c r="L27" s="17" t="n"/>
      <c r="M27" s="27" t="n"/>
      <c r="N27" s="31">
        <f>IFERROR(G27+M27,"")</f>
        <v/>
      </c>
      <c r="O27" s="7">
        <f>IFERROR(O26+L27,"")</f>
        <v/>
      </c>
      <c r="P27" s="7">
        <f>IFERROR(-L27,"")</f>
        <v/>
      </c>
      <c r="Q27" s="32" t="n"/>
    </row>
    <row r="28">
      <c r="A28" s="33" t="n"/>
      <c r="B28" s="15" t="n"/>
      <c r="C28" s="7">
        <f>IFERROR(参数配置!$C$6*(B28-$S$3),"")</f>
        <v/>
      </c>
      <c r="D28" s="27" t="n"/>
      <c r="E28" s="27" t="n"/>
      <c r="F28" s="28">
        <f>IFERROR((D28-E28)/E28,"")</f>
        <v/>
      </c>
      <c r="G28" s="27" t="n"/>
      <c r="H28" s="7">
        <f>IFERROR(G28*D28,"")</f>
        <v/>
      </c>
      <c r="I28" s="7">
        <f>IFERROR(IF(F28&gt;=参数配置!$C$13,-H28,C28-H28),"")</f>
        <v/>
      </c>
      <c r="J28" s="29">
        <f>IFERROR(IF(F28&gt;=参数配置!$C$13,"全仓清仓",IF(H28&gt;C28,"卖出超额","正常定投")),"")</f>
        <v/>
      </c>
      <c r="K28" s="30">
        <f>IFERROR(I28,"")</f>
        <v/>
      </c>
      <c r="L28" s="17" t="n"/>
      <c r="M28" s="27" t="n"/>
      <c r="N28" s="31">
        <f>IFERROR(G28+M28,"")</f>
        <v/>
      </c>
      <c r="O28" s="7">
        <f>IFERROR(O27+L28,"")</f>
        <v/>
      </c>
      <c r="P28" s="7">
        <f>IFERROR(-L28,"")</f>
        <v/>
      </c>
      <c r="Q28" s="32" t="n"/>
    </row>
    <row r="29">
      <c r="A29" s="33" t="n"/>
      <c r="B29" s="15" t="n"/>
      <c r="C29" s="7">
        <f>IFERROR(参数配置!$C$6*(B29-$S$3),"")</f>
        <v/>
      </c>
      <c r="D29" s="27" t="n"/>
      <c r="E29" s="27" t="n"/>
      <c r="F29" s="28">
        <f>IFERROR((D29-E29)/E29,"")</f>
        <v/>
      </c>
      <c r="G29" s="27" t="n"/>
      <c r="H29" s="7">
        <f>IFERROR(G29*D29,"")</f>
        <v/>
      </c>
      <c r="I29" s="7">
        <f>IFERROR(IF(F29&gt;=参数配置!$C$13,-H29,C29-H29),"")</f>
        <v/>
      </c>
      <c r="J29" s="29">
        <f>IFERROR(IF(F29&gt;=参数配置!$C$13,"全仓清仓",IF(H29&gt;C29,"卖出超额","正常定投")),"")</f>
        <v/>
      </c>
      <c r="K29" s="30">
        <f>IFERROR(I29,"")</f>
        <v/>
      </c>
      <c r="L29" s="17" t="n"/>
      <c r="M29" s="27" t="n"/>
      <c r="N29" s="31">
        <f>IFERROR(G29+M29,"")</f>
        <v/>
      </c>
      <c r="O29" s="7">
        <f>IFERROR(O28+L29,"")</f>
        <v/>
      </c>
      <c r="P29" s="7">
        <f>IFERROR(-L29,"")</f>
        <v/>
      </c>
      <c r="Q29" s="32" t="n"/>
    </row>
    <row r="30">
      <c r="A30" s="33" t="n"/>
      <c r="B30" s="15" t="n"/>
      <c r="C30" s="7">
        <f>IFERROR(参数配置!$C$6*(B30-$S$3),"")</f>
        <v/>
      </c>
      <c r="D30" s="27" t="n"/>
      <c r="E30" s="27" t="n"/>
      <c r="F30" s="28">
        <f>IFERROR((D30-E30)/E30,"")</f>
        <v/>
      </c>
      <c r="G30" s="27" t="n"/>
      <c r="H30" s="7">
        <f>IFERROR(G30*D30,"")</f>
        <v/>
      </c>
      <c r="I30" s="7">
        <f>IFERROR(IF(F30&gt;=参数配置!$C$13,-H30,C30-H30),"")</f>
        <v/>
      </c>
      <c r="J30" s="29">
        <f>IFERROR(IF(F30&gt;=参数配置!$C$13,"全仓清仓",IF(H30&gt;C30,"卖出超额","正常定投")),"")</f>
        <v/>
      </c>
      <c r="K30" s="30">
        <f>IFERROR(I30,"")</f>
        <v/>
      </c>
      <c r="L30" s="17" t="n"/>
      <c r="M30" s="27" t="n"/>
      <c r="N30" s="31">
        <f>IFERROR(G30+M30,"")</f>
        <v/>
      </c>
      <c r="O30" s="7">
        <f>IFERROR(O29+L30,"")</f>
        <v/>
      </c>
      <c r="P30" s="7">
        <f>IFERROR(-L30,"")</f>
        <v/>
      </c>
      <c r="Q30" s="32" t="n"/>
    </row>
    <row r="31">
      <c r="A31" s="33" t="n"/>
      <c r="B31" s="15" t="n"/>
      <c r="C31" s="7">
        <f>IFERROR(参数配置!$C$6*(B31-$S$3),"")</f>
        <v/>
      </c>
      <c r="D31" s="27" t="n"/>
      <c r="E31" s="27" t="n"/>
      <c r="F31" s="28">
        <f>IFERROR((D31-E31)/E31,"")</f>
        <v/>
      </c>
      <c r="G31" s="27" t="n"/>
      <c r="H31" s="7">
        <f>IFERROR(G31*D31,"")</f>
        <v/>
      </c>
      <c r="I31" s="7">
        <f>IFERROR(IF(F31&gt;=参数配置!$C$13,-H31,C31-H31),"")</f>
        <v/>
      </c>
      <c r="J31" s="29">
        <f>IFERROR(IF(F31&gt;=参数配置!$C$13,"全仓清仓",IF(H31&gt;C31,"卖出超额","正常定投")),"")</f>
        <v/>
      </c>
      <c r="K31" s="30">
        <f>IFERROR(I31,"")</f>
        <v/>
      </c>
      <c r="L31" s="17" t="n"/>
      <c r="M31" s="27" t="n"/>
      <c r="N31" s="31">
        <f>IFERROR(G31+M31,"")</f>
        <v/>
      </c>
      <c r="O31" s="7">
        <f>IFERROR(O30+L31,"")</f>
        <v/>
      </c>
      <c r="P31" s="7">
        <f>IFERROR(-L31,"")</f>
        <v/>
      </c>
      <c r="Q31" s="32" t="n"/>
    </row>
    <row r="32">
      <c r="A32" s="33" t="n"/>
      <c r="B32" s="15" t="n"/>
      <c r="C32" s="7">
        <f>IFERROR(参数配置!$C$6*(B32-$S$3),"")</f>
        <v/>
      </c>
      <c r="D32" s="27" t="n"/>
      <c r="E32" s="27" t="n"/>
      <c r="F32" s="28">
        <f>IFERROR((D32-E32)/E32,"")</f>
        <v/>
      </c>
      <c r="G32" s="27" t="n"/>
      <c r="H32" s="7">
        <f>IFERROR(G32*D32,"")</f>
        <v/>
      </c>
      <c r="I32" s="7">
        <f>IFERROR(IF(F32&gt;=参数配置!$C$13,-H32,C32-H32),"")</f>
        <v/>
      </c>
      <c r="J32" s="29">
        <f>IFERROR(IF(F32&gt;=参数配置!$C$13,"全仓清仓",IF(H32&gt;C32,"卖出超额","正常定投")),"")</f>
        <v/>
      </c>
      <c r="K32" s="30">
        <f>IFERROR(I32,"")</f>
        <v/>
      </c>
      <c r="L32" s="17" t="n"/>
      <c r="M32" s="27" t="n"/>
      <c r="N32" s="31">
        <f>IFERROR(G32+M32,"")</f>
        <v/>
      </c>
      <c r="O32" s="7">
        <f>IFERROR(O31+L32,"")</f>
        <v/>
      </c>
      <c r="P32" s="7">
        <f>IFERROR(-L32,"")</f>
        <v/>
      </c>
      <c r="Q32" s="32" t="n"/>
    </row>
    <row r="33">
      <c r="A33" s="33" t="n"/>
      <c r="B33" s="15" t="n"/>
      <c r="C33" s="7">
        <f>IFERROR(参数配置!$C$6*(B33-$S$3),"")</f>
        <v/>
      </c>
      <c r="D33" s="27" t="n"/>
      <c r="E33" s="27" t="n"/>
      <c r="F33" s="28">
        <f>IFERROR((D33-E33)/E33,"")</f>
        <v/>
      </c>
      <c r="G33" s="27" t="n"/>
      <c r="H33" s="7">
        <f>IFERROR(G33*D33,"")</f>
        <v/>
      </c>
      <c r="I33" s="7">
        <f>IFERROR(IF(F33&gt;=参数配置!$C$13,-H33,C33-H33),"")</f>
        <v/>
      </c>
      <c r="J33" s="29">
        <f>IFERROR(IF(F33&gt;=参数配置!$C$13,"全仓清仓",IF(H33&gt;C33,"卖出超额","正常定投")),"")</f>
        <v/>
      </c>
      <c r="K33" s="30">
        <f>IFERROR(I33,"")</f>
        <v/>
      </c>
      <c r="L33" s="17" t="n"/>
      <c r="M33" s="27" t="n"/>
      <c r="N33" s="31">
        <f>IFERROR(G33+M33,"")</f>
        <v/>
      </c>
      <c r="O33" s="7">
        <f>IFERROR(O32+L33,"")</f>
        <v/>
      </c>
      <c r="P33" s="7">
        <f>IFERROR(-L33,"")</f>
        <v/>
      </c>
      <c r="Q33" s="32" t="n"/>
    </row>
    <row r="34">
      <c r="A34" s="33" t="n"/>
      <c r="B34" s="15" t="n"/>
      <c r="C34" s="7">
        <f>IFERROR(参数配置!$C$6*(B34-$S$3),"")</f>
        <v/>
      </c>
      <c r="D34" s="27" t="n"/>
      <c r="E34" s="27" t="n"/>
      <c r="F34" s="28">
        <f>IFERROR((D34-E34)/E34,"")</f>
        <v/>
      </c>
      <c r="G34" s="27" t="n"/>
      <c r="H34" s="7">
        <f>IFERROR(G34*D34,"")</f>
        <v/>
      </c>
      <c r="I34" s="7">
        <f>IFERROR(IF(F34&gt;=参数配置!$C$13,-H34,C34-H34),"")</f>
        <v/>
      </c>
      <c r="J34" s="29">
        <f>IFERROR(IF(F34&gt;=参数配置!$C$13,"全仓清仓",IF(H34&gt;C34,"卖出超额","正常定投")),"")</f>
        <v/>
      </c>
      <c r="K34" s="30">
        <f>IFERROR(I34,"")</f>
        <v/>
      </c>
      <c r="L34" s="17" t="n"/>
      <c r="M34" s="27" t="n"/>
      <c r="N34" s="31">
        <f>IFERROR(G34+M34,"")</f>
        <v/>
      </c>
      <c r="O34" s="7">
        <f>IFERROR(O33+L34,"")</f>
        <v/>
      </c>
      <c r="P34" s="7">
        <f>IFERROR(-L34,"")</f>
        <v/>
      </c>
      <c r="Q34" s="32" t="n"/>
    </row>
    <row r="35">
      <c r="A35" s="33" t="n"/>
      <c r="B35" s="15" t="n"/>
      <c r="C35" s="7">
        <f>IFERROR(参数配置!$C$6*(B35-$S$3),"")</f>
        <v/>
      </c>
      <c r="D35" s="27" t="n"/>
      <c r="E35" s="27" t="n"/>
      <c r="F35" s="28">
        <f>IFERROR((D35-E35)/E35,"")</f>
        <v/>
      </c>
      <c r="G35" s="27" t="n"/>
      <c r="H35" s="7">
        <f>IFERROR(G35*D35,"")</f>
        <v/>
      </c>
      <c r="I35" s="7">
        <f>IFERROR(IF(F35&gt;=参数配置!$C$13,-H35,C35-H35),"")</f>
        <v/>
      </c>
      <c r="J35" s="29">
        <f>IFERROR(IF(F35&gt;=参数配置!$C$13,"全仓清仓",IF(H35&gt;C35,"卖出超额","正常定投")),"")</f>
        <v/>
      </c>
      <c r="K35" s="30">
        <f>IFERROR(I35,"")</f>
        <v/>
      </c>
      <c r="L35" s="17" t="n"/>
      <c r="M35" s="27" t="n"/>
      <c r="N35" s="31">
        <f>IFERROR(G35+M35,"")</f>
        <v/>
      </c>
      <c r="O35" s="7">
        <f>IFERROR(O34+L35,"")</f>
        <v/>
      </c>
      <c r="P35" s="7">
        <f>IFERROR(-L35,"")</f>
        <v/>
      </c>
      <c r="Q35" s="32" t="n"/>
    </row>
    <row r="36">
      <c r="A36" s="33" t="n"/>
      <c r="B36" s="15" t="n"/>
      <c r="C36" s="7">
        <f>IFERROR(参数配置!$C$6*(B36-$S$3),"")</f>
        <v/>
      </c>
      <c r="D36" s="27" t="n"/>
      <c r="E36" s="27" t="n"/>
      <c r="F36" s="28">
        <f>IFERROR((D36-E36)/E36,"")</f>
        <v/>
      </c>
      <c r="G36" s="27" t="n"/>
      <c r="H36" s="7">
        <f>IFERROR(G36*D36,"")</f>
        <v/>
      </c>
      <c r="I36" s="7">
        <f>IFERROR(IF(F36&gt;=参数配置!$C$13,-H36,C36-H36),"")</f>
        <v/>
      </c>
      <c r="J36" s="29">
        <f>IFERROR(IF(F36&gt;=参数配置!$C$13,"全仓清仓",IF(H36&gt;C36,"卖出超额","正常定投")),"")</f>
        <v/>
      </c>
      <c r="K36" s="30">
        <f>IFERROR(I36,"")</f>
        <v/>
      </c>
      <c r="L36" s="17" t="n"/>
      <c r="M36" s="27" t="n"/>
      <c r="N36" s="31">
        <f>IFERROR(G36+M36,"")</f>
        <v/>
      </c>
      <c r="O36" s="7">
        <f>IFERROR(O35+L36,"")</f>
        <v/>
      </c>
      <c r="P36" s="7">
        <f>IFERROR(-L36,"")</f>
        <v/>
      </c>
      <c r="Q36" s="32" t="n"/>
    </row>
    <row r="37">
      <c r="A37" s="33" t="n"/>
      <c r="B37" s="15" t="n"/>
      <c r="C37" s="7">
        <f>IFERROR(参数配置!$C$6*(B37-$S$3),"")</f>
        <v/>
      </c>
      <c r="D37" s="27" t="n"/>
      <c r="E37" s="27" t="n"/>
      <c r="F37" s="28">
        <f>IFERROR((D37-E37)/E37,"")</f>
        <v/>
      </c>
      <c r="G37" s="27" t="n"/>
      <c r="H37" s="7">
        <f>IFERROR(G37*D37,"")</f>
        <v/>
      </c>
      <c r="I37" s="7">
        <f>IFERROR(IF(F37&gt;=参数配置!$C$13,-H37,C37-H37),"")</f>
        <v/>
      </c>
      <c r="J37" s="29">
        <f>IFERROR(IF(F37&gt;=参数配置!$C$13,"全仓清仓",IF(H37&gt;C37,"卖出超额","正常定投")),"")</f>
        <v/>
      </c>
      <c r="K37" s="30">
        <f>IFERROR(I37,"")</f>
        <v/>
      </c>
      <c r="L37" s="17" t="n"/>
      <c r="M37" s="27" t="n"/>
      <c r="N37" s="31">
        <f>IFERROR(G37+M37,"")</f>
        <v/>
      </c>
      <c r="O37" s="7">
        <f>IFERROR(O36+L37,"")</f>
        <v/>
      </c>
      <c r="P37" s="7">
        <f>IFERROR(-L37,"")</f>
        <v/>
      </c>
      <c r="Q37" s="32" t="n"/>
    </row>
    <row r="38">
      <c r="A38" s="33" t="n"/>
      <c r="B38" s="15" t="n"/>
      <c r="C38" s="7">
        <f>IFERROR(参数配置!$C$6*(B38-$S$3),"")</f>
        <v/>
      </c>
      <c r="D38" s="27" t="n"/>
      <c r="E38" s="27" t="n"/>
      <c r="F38" s="28">
        <f>IFERROR((D38-E38)/E38,"")</f>
        <v/>
      </c>
      <c r="G38" s="27" t="n"/>
      <c r="H38" s="7">
        <f>IFERROR(G38*D38,"")</f>
        <v/>
      </c>
      <c r="I38" s="7">
        <f>IFERROR(IF(F38&gt;=参数配置!$C$13,-H38,C38-H38),"")</f>
        <v/>
      </c>
      <c r="J38" s="29">
        <f>IFERROR(IF(F38&gt;=参数配置!$C$13,"全仓清仓",IF(H38&gt;C38,"卖出超额","正常定投")),"")</f>
        <v/>
      </c>
      <c r="K38" s="30">
        <f>IFERROR(I38,"")</f>
        <v/>
      </c>
      <c r="L38" s="17" t="n"/>
      <c r="M38" s="27" t="n"/>
      <c r="N38" s="31">
        <f>IFERROR(G38+M38,"")</f>
        <v/>
      </c>
      <c r="O38" s="7">
        <f>IFERROR(O37+L38,"")</f>
        <v/>
      </c>
      <c r="P38" s="7">
        <f>IFERROR(-L38,"")</f>
        <v/>
      </c>
      <c r="Q38" s="32" t="n"/>
    </row>
    <row r="39">
      <c r="A39" s="33" t="n"/>
      <c r="B39" s="15" t="n"/>
      <c r="C39" s="7">
        <f>IFERROR(参数配置!$C$6*(B39-$S$3),"")</f>
        <v/>
      </c>
      <c r="D39" s="27" t="n"/>
      <c r="E39" s="27" t="n"/>
      <c r="F39" s="28">
        <f>IFERROR((D39-E39)/E39,"")</f>
        <v/>
      </c>
      <c r="G39" s="27" t="n"/>
      <c r="H39" s="7">
        <f>IFERROR(G39*D39,"")</f>
        <v/>
      </c>
      <c r="I39" s="7">
        <f>IFERROR(IF(F39&gt;=参数配置!$C$13,-H39,C39-H39),"")</f>
        <v/>
      </c>
      <c r="J39" s="29">
        <f>IFERROR(IF(F39&gt;=参数配置!$C$13,"全仓清仓",IF(H39&gt;C39,"卖出超额","正常定投")),"")</f>
        <v/>
      </c>
      <c r="K39" s="30">
        <f>IFERROR(I39,"")</f>
        <v/>
      </c>
      <c r="L39" s="17" t="n"/>
      <c r="M39" s="27" t="n"/>
      <c r="N39" s="31">
        <f>IFERROR(G39+M39,"")</f>
        <v/>
      </c>
      <c r="O39" s="7">
        <f>IFERROR(O38+L39,"")</f>
        <v/>
      </c>
      <c r="P39" s="7">
        <f>IFERROR(-L39,"")</f>
        <v/>
      </c>
      <c r="Q39" s="32" t="n"/>
    </row>
    <row r="40">
      <c r="A40" s="33" t="n"/>
      <c r="B40" s="15" t="n"/>
      <c r="C40" s="7">
        <f>IFERROR(参数配置!$C$6*(B40-$S$3),"")</f>
        <v/>
      </c>
      <c r="D40" s="27" t="n"/>
      <c r="E40" s="27" t="n"/>
      <c r="F40" s="28">
        <f>IFERROR((D40-E40)/E40,"")</f>
        <v/>
      </c>
      <c r="G40" s="27" t="n"/>
      <c r="H40" s="7">
        <f>IFERROR(G40*D40,"")</f>
        <v/>
      </c>
      <c r="I40" s="7">
        <f>IFERROR(IF(F40&gt;=参数配置!$C$13,-H40,C40-H40),"")</f>
        <v/>
      </c>
      <c r="J40" s="29">
        <f>IFERROR(IF(F40&gt;=参数配置!$C$13,"全仓清仓",IF(H40&gt;C40,"卖出超额","正常定投")),"")</f>
        <v/>
      </c>
      <c r="K40" s="30">
        <f>IFERROR(I40,"")</f>
        <v/>
      </c>
      <c r="L40" s="17" t="n"/>
      <c r="M40" s="27" t="n"/>
      <c r="N40" s="31">
        <f>IFERROR(G40+M40,"")</f>
        <v/>
      </c>
      <c r="O40" s="7">
        <f>IFERROR(O39+L40,"")</f>
        <v/>
      </c>
      <c r="P40" s="7">
        <f>IFERROR(-L40,"")</f>
        <v/>
      </c>
      <c r="Q40" s="32" t="n"/>
    </row>
    <row r="41">
      <c r="A41" s="33" t="n"/>
      <c r="B41" s="15" t="n"/>
      <c r="C41" s="7">
        <f>IFERROR(参数配置!$C$6*(B41-$S$3),"")</f>
        <v/>
      </c>
      <c r="D41" s="27" t="n"/>
      <c r="E41" s="27" t="n"/>
      <c r="F41" s="28">
        <f>IFERROR((D41-E41)/E41,"")</f>
        <v/>
      </c>
      <c r="G41" s="27" t="n"/>
      <c r="H41" s="7">
        <f>IFERROR(G41*D41,"")</f>
        <v/>
      </c>
      <c r="I41" s="7">
        <f>IFERROR(IF(F41&gt;=参数配置!$C$13,-H41,C41-H41),"")</f>
        <v/>
      </c>
      <c r="J41" s="29">
        <f>IFERROR(IF(F41&gt;=参数配置!$C$13,"全仓清仓",IF(H41&gt;C41,"卖出超额","正常定投")),"")</f>
        <v/>
      </c>
      <c r="K41" s="30">
        <f>IFERROR(I41,"")</f>
        <v/>
      </c>
      <c r="L41" s="17" t="n"/>
      <c r="M41" s="27" t="n"/>
      <c r="N41" s="31">
        <f>IFERROR(G41+M41,"")</f>
        <v/>
      </c>
      <c r="O41" s="7">
        <f>IFERROR(O40+L41,"")</f>
        <v/>
      </c>
      <c r="P41" s="7">
        <f>IFERROR(-L41,"")</f>
        <v/>
      </c>
      <c r="Q41" s="32" t="n"/>
    </row>
    <row r="42">
      <c r="A42" s="33" t="n"/>
      <c r="B42" s="15" t="n"/>
      <c r="C42" s="7">
        <f>IFERROR(参数配置!$C$6*(B42-$S$3),"")</f>
        <v/>
      </c>
      <c r="D42" s="27" t="n"/>
      <c r="E42" s="27" t="n"/>
      <c r="F42" s="28">
        <f>IFERROR((D42-E42)/E42,"")</f>
        <v/>
      </c>
      <c r="G42" s="27" t="n"/>
      <c r="H42" s="7">
        <f>IFERROR(G42*D42,"")</f>
        <v/>
      </c>
      <c r="I42" s="7">
        <f>IFERROR(IF(F42&gt;=参数配置!$C$13,-H42,C42-H42),"")</f>
        <v/>
      </c>
      <c r="J42" s="29">
        <f>IFERROR(IF(F42&gt;=参数配置!$C$13,"全仓清仓",IF(H42&gt;C42,"卖出超额","正常定投")),"")</f>
        <v/>
      </c>
      <c r="K42" s="30">
        <f>IFERROR(I42,"")</f>
        <v/>
      </c>
      <c r="L42" s="17" t="n"/>
      <c r="M42" s="27" t="n"/>
      <c r="N42" s="31">
        <f>IFERROR(G42+M42,"")</f>
        <v/>
      </c>
      <c r="O42" s="7">
        <f>IFERROR(O41+L42,"")</f>
        <v/>
      </c>
      <c r="P42" s="7">
        <f>IFERROR(-L42,"")</f>
        <v/>
      </c>
      <c r="Q42" s="32" t="n"/>
    </row>
    <row r="43">
      <c r="A43" s="33" t="n"/>
      <c r="B43" s="15" t="n"/>
      <c r="C43" s="7">
        <f>IFERROR(参数配置!$C$6*(B43-$S$3),"")</f>
        <v/>
      </c>
      <c r="D43" s="27" t="n"/>
      <c r="E43" s="27" t="n"/>
      <c r="F43" s="28">
        <f>IFERROR((D43-E43)/E43,"")</f>
        <v/>
      </c>
      <c r="G43" s="27" t="n"/>
      <c r="H43" s="7">
        <f>IFERROR(G43*D43,"")</f>
        <v/>
      </c>
      <c r="I43" s="7">
        <f>IFERROR(IF(F43&gt;=参数配置!$C$13,-H43,C43-H43),"")</f>
        <v/>
      </c>
      <c r="J43" s="29">
        <f>IFERROR(IF(F43&gt;=参数配置!$C$13,"全仓清仓",IF(H43&gt;C43,"卖出超额","正常定投")),"")</f>
        <v/>
      </c>
      <c r="K43" s="30">
        <f>IFERROR(I43,"")</f>
        <v/>
      </c>
      <c r="L43" s="17" t="n"/>
      <c r="M43" s="27" t="n"/>
      <c r="N43" s="31">
        <f>IFERROR(G43+M43,"")</f>
        <v/>
      </c>
      <c r="O43" s="7">
        <f>IFERROR(O42+L43,"")</f>
        <v/>
      </c>
      <c r="P43" s="7">
        <f>IFERROR(-L43,"")</f>
        <v/>
      </c>
      <c r="Q43" s="32" t="n"/>
    </row>
    <row r="44">
      <c r="A44" s="33" t="n"/>
      <c r="B44" s="15" t="n"/>
      <c r="C44" s="7">
        <f>IFERROR(参数配置!$C$6*(B44-$S$3),"")</f>
        <v/>
      </c>
      <c r="D44" s="27" t="n"/>
      <c r="E44" s="27" t="n"/>
      <c r="F44" s="28">
        <f>IFERROR((D44-E44)/E44,"")</f>
        <v/>
      </c>
      <c r="G44" s="27" t="n"/>
      <c r="H44" s="7">
        <f>IFERROR(G44*D44,"")</f>
        <v/>
      </c>
      <c r="I44" s="7">
        <f>IFERROR(IF(F44&gt;=参数配置!$C$13,-H44,C44-H44),"")</f>
        <v/>
      </c>
      <c r="J44" s="29">
        <f>IFERROR(IF(F44&gt;=参数配置!$C$13,"全仓清仓",IF(H44&gt;C44,"卖出超额","正常定投")),"")</f>
        <v/>
      </c>
      <c r="K44" s="30">
        <f>IFERROR(I44,"")</f>
        <v/>
      </c>
      <c r="L44" s="17" t="n"/>
      <c r="M44" s="27" t="n"/>
      <c r="N44" s="31">
        <f>IFERROR(G44+M44,"")</f>
        <v/>
      </c>
      <c r="O44" s="7">
        <f>IFERROR(O43+L44,"")</f>
        <v/>
      </c>
      <c r="P44" s="7">
        <f>IFERROR(-L44,"")</f>
        <v/>
      </c>
      <c r="Q44" s="32" t="n"/>
    </row>
    <row r="45">
      <c r="A45" s="33" t="n"/>
      <c r="B45" s="15" t="n"/>
      <c r="C45" s="7">
        <f>IFERROR(参数配置!$C$6*(B45-$S$3),"")</f>
        <v/>
      </c>
      <c r="D45" s="27" t="n"/>
      <c r="E45" s="27" t="n"/>
      <c r="F45" s="28">
        <f>IFERROR((D45-E45)/E45,"")</f>
        <v/>
      </c>
      <c r="G45" s="27" t="n"/>
      <c r="H45" s="7">
        <f>IFERROR(G45*D45,"")</f>
        <v/>
      </c>
      <c r="I45" s="7">
        <f>IFERROR(IF(F45&gt;=参数配置!$C$13,-H45,C45-H45),"")</f>
        <v/>
      </c>
      <c r="J45" s="29">
        <f>IFERROR(IF(F45&gt;=参数配置!$C$13,"全仓清仓",IF(H45&gt;C45,"卖出超额","正常定投")),"")</f>
        <v/>
      </c>
      <c r="K45" s="30">
        <f>IFERROR(I45,"")</f>
        <v/>
      </c>
      <c r="L45" s="17" t="n"/>
      <c r="M45" s="27" t="n"/>
      <c r="N45" s="31">
        <f>IFERROR(G45+M45,"")</f>
        <v/>
      </c>
      <c r="O45" s="7">
        <f>IFERROR(O44+L45,"")</f>
        <v/>
      </c>
      <c r="P45" s="7">
        <f>IFERROR(-L45,"")</f>
        <v/>
      </c>
      <c r="Q45" s="32" t="n"/>
    </row>
    <row r="46">
      <c r="A46" s="33" t="n"/>
      <c r="B46" s="15" t="n"/>
      <c r="C46" s="7">
        <f>IFERROR(参数配置!$C$6*(B46-$S$3),"")</f>
        <v/>
      </c>
      <c r="D46" s="27" t="n"/>
      <c r="E46" s="27" t="n"/>
      <c r="F46" s="28">
        <f>IFERROR((D46-E46)/E46,"")</f>
        <v/>
      </c>
      <c r="G46" s="27" t="n"/>
      <c r="H46" s="7">
        <f>IFERROR(G46*D46,"")</f>
        <v/>
      </c>
      <c r="I46" s="7">
        <f>IFERROR(IF(F46&gt;=参数配置!$C$13,-H46,C46-H46),"")</f>
        <v/>
      </c>
      <c r="J46" s="29">
        <f>IFERROR(IF(F46&gt;=参数配置!$C$13,"全仓清仓",IF(H46&gt;C46,"卖出超额","正常定投")),"")</f>
        <v/>
      </c>
      <c r="K46" s="30">
        <f>IFERROR(I46,"")</f>
        <v/>
      </c>
      <c r="L46" s="17" t="n"/>
      <c r="M46" s="27" t="n"/>
      <c r="N46" s="31">
        <f>IFERROR(G46+M46,"")</f>
        <v/>
      </c>
      <c r="O46" s="7">
        <f>IFERROR(O45+L46,"")</f>
        <v/>
      </c>
      <c r="P46" s="7">
        <f>IFERROR(-L46,"")</f>
        <v/>
      </c>
      <c r="Q46" s="32" t="n"/>
    </row>
    <row r="47">
      <c r="A47" s="33" t="n"/>
      <c r="B47" s="15" t="n"/>
      <c r="C47" s="7">
        <f>IFERROR(参数配置!$C$6*(B47-$S$3),"")</f>
        <v/>
      </c>
      <c r="D47" s="27" t="n"/>
      <c r="E47" s="27" t="n"/>
      <c r="F47" s="28">
        <f>IFERROR((D47-E47)/E47,"")</f>
        <v/>
      </c>
      <c r="G47" s="27" t="n"/>
      <c r="H47" s="7">
        <f>IFERROR(G47*D47,"")</f>
        <v/>
      </c>
      <c r="I47" s="7">
        <f>IFERROR(IF(F47&gt;=参数配置!$C$13,-H47,C47-H47),"")</f>
        <v/>
      </c>
      <c r="J47" s="29">
        <f>IFERROR(IF(F47&gt;=参数配置!$C$13,"全仓清仓",IF(H47&gt;C47,"卖出超额","正常定投")),"")</f>
        <v/>
      </c>
      <c r="K47" s="30">
        <f>IFERROR(I47,"")</f>
        <v/>
      </c>
      <c r="L47" s="17" t="n"/>
      <c r="M47" s="27" t="n"/>
      <c r="N47" s="31">
        <f>IFERROR(G47+M47,"")</f>
        <v/>
      </c>
      <c r="O47" s="7">
        <f>IFERROR(O46+L47,"")</f>
        <v/>
      </c>
      <c r="P47" s="7">
        <f>IFERROR(-L47,"")</f>
        <v/>
      </c>
      <c r="Q47" s="32" t="n"/>
    </row>
    <row r="48">
      <c r="A48" s="33" t="n"/>
      <c r="B48" s="15" t="n"/>
      <c r="C48" s="7">
        <f>IFERROR(参数配置!$C$6*(B48-$S$3),"")</f>
        <v/>
      </c>
      <c r="D48" s="27" t="n"/>
      <c r="E48" s="27" t="n"/>
      <c r="F48" s="28">
        <f>IFERROR((D48-E48)/E48,"")</f>
        <v/>
      </c>
      <c r="G48" s="27" t="n"/>
      <c r="H48" s="7">
        <f>IFERROR(G48*D48,"")</f>
        <v/>
      </c>
      <c r="I48" s="7">
        <f>IFERROR(IF(F48&gt;=参数配置!$C$13,-H48,C48-H48),"")</f>
        <v/>
      </c>
      <c r="J48" s="29">
        <f>IFERROR(IF(F48&gt;=参数配置!$C$13,"全仓清仓",IF(H48&gt;C48,"卖出超额","正常定投")),"")</f>
        <v/>
      </c>
      <c r="K48" s="30">
        <f>IFERROR(I48,"")</f>
        <v/>
      </c>
      <c r="L48" s="17" t="n"/>
      <c r="M48" s="27" t="n"/>
      <c r="N48" s="31">
        <f>IFERROR(G48+M48,"")</f>
        <v/>
      </c>
      <c r="O48" s="7">
        <f>IFERROR(O47+L48,"")</f>
        <v/>
      </c>
      <c r="P48" s="7">
        <f>IFERROR(-L48,"")</f>
        <v/>
      </c>
      <c r="Q48" s="32" t="n"/>
    </row>
    <row r="49">
      <c r="A49" s="33" t="n"/>
      <c r="B49" s="15" t="n"/>
      <c r="C49" s="7">
        <f>IFERROR(参数配置!$C$6*(B49-$S$3),"")</f>
        <v/>
      </c>
      <c r="D49" s="27" t="n"/>
      <c r="E49" s="27" t="n"/>
      <c r="F49" s="28">
        <f>IFERROR((D49-E49)/E49,"")</f>
        <v/>
      </c>
      <c r="G49" s="27" t="n"/>
      <c r="H49" s="7">
        <f>IFERROR(G49*D49,"")</f>
        <v/>
      </c>
      <c r="I49" s="7">
        <f>IFERROR(IF(F49&gt;=参数配置!$C$13,-H49,C49-H49),"")</f>
        <v/>
      </c>
      <c r="J49" s="29">
        <f>IFERROR(IF(F49&gt;=参数配置!$C$13,"全仓清仓",IF(H49&gt;C49,"卖出超额","正常定投")),"")</f>
        <v/>
      </c>
      <c r="K49" s="30">
        <f>IFERROR(I49,"")</f>
        <v/>
      </c>
      <c r="L49" s="17" t="n"/>
      <c r="M49" s="27" t="n"/>
      <c r="N49" s="31">
        <f>IFERROR(G49+M49,"")</f>
        <v/>
      </c>
      <c r="O49" s="7">
        <f>IFERROR(O48+L49,"")</f>
        <v/>
      </c>
      <c r="P49" s="7">
        <f>IFERROR(-L49,"")</f>
        <v/>
      </c>
      <c r="Q49" s="32" t="n"/>
    </row>
    <row r="50">
      <c r="A50" s="33" t="n"/>
      <c r="B50" s="15" t="n"/>
      <c r="C50" s="7">
        <f>IFERROR(参数配置!$C$6*(B50-$S$3),"")</f>
        <v/>
      </c>
      <c r="D50" s="27" t="n"/>
      <c r="E50" s="27" t="n"/>
      <c r="F50" s="28">
        <f>IFERROR((D50-E50)/E50,"")</f>
        <v/>
      </c>
      <c r="G50" s="27" t="n"/>
      <c r="H50" s="7">
        <f>IFERROR(G50*D50,"")</f>
        <v/>
      </c>
      <c r="I50" s="7">
        <f>IFERROR(IF(F50&gt;=参数配置!$C$13,-H50,C50-H50),"")</f>
        <v/>
      </c>
      <c r="J50" s="29">
        <f>IFERROR(IF(F50&gt;=参数配置!$C$13,"全仓清仓",IF(H50&gt;C50,"卖出超额","正常定投")),"")</f>
        <v/>
      </c>
      <c r="K50" s="30">
        <f>IFERROR(I50,"")</f>
        <v/>
      </c>
      <c r="L50" s="17" t="n"/>
      <c r="M50" s="27" t="n"/>
      <c r="N50" s="31">
        <f>IFERROR(G50+M50,"")</f>
        <v/>
      </c>
      <c r="O50" s="7">
        <f>IFERROR(O49+L50,"")</f>
        <v/>
      </c>
      <c r="P50" s="7">
        <f>IFERROR(-L50,"")</f>
        <v/>
      </c>
      <c r="Q50" s="32" t="n"/>
    </row>
    <row r="51">
      <c r="A51" s="33" t="n"/>
      <c r="B51" s="15" t="n"/>
      <c r="C51" s="7">
        <f>IFERROR(参数配置!$C$6*(B51-$S$3),"")</f>
        <v/>
      </c>
      <c r="D51" s="27" t="n"/>
      <c r="E51" s="27" t="n"/>
      <c r="F51" s="28">
        <f>IFERROR((D51-E51)/E51,"")</f>
        <v/>
      </c>
      <c r="G51" s="27" t="n"/>
      <c r="H51" s="7">
        <f>IFERROR(G51*D51,"")</f>
        <v/>
      </c>
      <c r="I51" s="7">
        <f>IFERROR(IF(F51&gt;=参数配置!$C$13,-H51,C51-H51),"")</f>
        <v/>
      </c>
      <c r="J51" s="29">
        <f>IFERROR(IF(F51&gt;=参数配置!$C$13,"全仓清仓",IF(H51&gt;C51,"卖出超额","正常定投")),"")</f>
        <v/>
      </c>
      <c r="K51" s="30">
        <f>IFERROR(I51,"")</f>
        <v/>
      </c>
      <c r="L51" s="17" t="n"/>
      <c r="M51" s="27" t="n"/>
      <c r="N51" s="31">
        <f>IFERROR(G51+M51,"")</f>
        <v/>
      </c>
      <c r="O51" s="7">
        <f>IFERROR(O50+L51,"")</f>
        <v/>
      </c>
      <c r="P51" s="7">
        <f>IFERROR(-L51,"")</f>
        <v/>
      </c>
      <c r="Q51" s="32" t="n"/>
    </row>
    <row r="52">
      <c r="A52" s="33" t="n"/>
      <c r="B52" s="15" t="n"/>
      <c r="C52" s="7">
        <f>IFERROR(参数配置!$C$6*(B52-$S$3),"")</f>
        <v/>
      </c>
      <c r="D52" s="27" t="n"/>
      <c r="E52" s="27" t="n"/>
      <c r="F52" s="28">
        <f>IFERROR((D52-E52)/E52,"")</f>
        <v/>
      </c>
      <c r="G52" s="27" t="n"/>
      <c r="H52" s="7">
        <f>IFERROR(G52*D52,"")</f>
        <v/>
      </c>
      <c r="I52" s="7">
        <f>IFERROR(IF(F52&gt;=参数配置!$C$13,-H52,C52-H52),"")</f>
        <v/>
      </c>
      <c r="J52" s="29">
        <f>IFERROR(IF(F52&gt;=参数配置!$C$13,"全仓清仓",IF(H52&gt;C52,"卖出超额","正常定投")),"")</f>
        <v/>
      </c>
      <c r="K52" s="30">
        <f>IFERROR(I52,"")</f>
        <v/>
      </c>
      <c r="L52" s="17" t="n"/>
      <c r="M52" s="27" t="n"/>
      <c r="N52" s="31">
        <f>IFERROR(G52+M52,"")</f>
        <v/>
      </c>
      <c r="O52" s="7">
        <f>IFERROR(O51+L52,"")</f>
        <v/>
      </c>
      <c r="P52" s="7">
        <f>IFERROR(-L52,"")</f>
        <v/>
      </c>
      <c r="Q52" s="32" t="n"/>
    </row>
    <row r="53">
      <c r="A53" s="33" t="n"/>
      <c r="B53" s="15" t="n"/>
      <c r="C53" s="7">
        <f>IFERROR(参数配置!$C$6*(B53-$S$3),"")</f>
        <v/>
      </c>
      <c r="D53" s="27" t="n"/>
      <c r="E53" s="27" t="n"/>
      <c r="F53" s="28">
        <f>IFERROR((D53-E53)/E53,"")</f>
        <v/>
      </c>
      <c r="G53" s="27" t="n"/>
      <c r="H53" s="7">
        <f>IFERROR(G53*D53,"")</f>
        <v/>
      </c>
      <c r="I53" s="7">
        <f>IFERROR(IF(F53&gt;=参数配置!$C$13,-H53,C53-H53),"")</f>
        <v/>
      </c>
      <c r="J53" s="29">
        <f>IFERROR(IF(F53&gt;=参数配置!$C$13,"全仓清仓",IF(H53&gt;C53,"卖出超额","正常定投")),"")</f>
        <v/>
      </c>
      <c r="K53" s="30">
        <f>IFERROR(I53,"")</f>
        <v/>
      </c>
      <c r="L53" s="17" t="n"/>
      <c r="M53" s="27" t="n"/>
      <c r="N53" s="31">
        <f>IFERROR(G53+M53,"")</f>
        <v/>
      </c>
      <c r="O53" s="7">
        <f>IFERROR(O52+L53,"")</f>
        <v/>
      </c>
      <c r="P53" s="7">
        <f>IFERROR(-L53,"")</f>
        <v/>
      </c>
      <c r="Q53" s="32" t="n"/>
    </row>
    <row r="54">
      <c r="A54" s="33" t="n"/>
      <c r="B54" s="15" t="n"/>
      <c r="C54" s="7">
        <f>IFERROR(参数配置!$C$6*(B54-$S$3),"")</f>
        <v/>
      </c>
      <c r="D54" s="27" t="n"/>
      <c r="E54" s="27" t="n"/>
      <c r="F54" s="28">
        <f>IFERROR((D54-E54)/E54,"")</f>
        <v/>
      </c>
      <c r="G54" s="27" t="n"/>
      <c r="H54" s="7">
        <f>IFERROR(G54*D54,"")</f>
        <v/>
      </c>
      <c r="I54" s="7">
        <f>IFERROR(IF(F54&gt;=参数配置!$C$13,-H54,C54-H54),"")</f>
        <v/>
      </c>
      <c r="J54" s="29">
        <f>IFERROR(IF(F54&gt;=参数配置!$C$13,"全仓清仓",IF(H54&gt;C54,"卖出超额","正常定投")),"")</f>
        <v/>
      </c>
      <c r="K54" s="30">
        <f>IFERROR(I54,"")</f>
        <v/>
      </c>
      <c r="L54" s="17" t="n"/>
      <c r="M54" s="27" t="n"/>
      <c r="N54" s="31">
        <f>IFERROR(G54+M54,"")</f>
        <v/>
      </c>
      <c r="O54" s="7">
        <f>IFERROR(O53+L54,"")</f>
        <v/>
      </c>
      <c r="P54" s="7">
        <f>IFERROR(-L54,"")</f>
        <v/>
      </c>
      <c r="Q54" s="32" t="n"/>
    </row>
    <row r="55">
      <c r="A55" s="33" t="n"/>
      <c r="B55" s="15" t="n"/>
      <c r="C55" s="7">
        <f>IFERROR(参数配置!$C$6*(B55-$S$3),"")</f>
        <v/>
      </c>
      <c r="D55" s="27" t="n"/>
      <c r="E55" s="27" t="n"/>
      <c r="F55" s="28">
        <f>IFERROR((D55-E55)/E55,"")</f>
        <v/>
      </c>
      <c r="G55" s="27" t="n"/>
      <c r="H55" s="7">
        <f>IFERROR(G55*D55,"")</f>
        <v/>
      </c>
      <c r="I55" s="7">
        <f>IFERROR(IF(F55&gt;=参数配置!$C$13,-H55,C55-H55),"")</f>
        <v/>
      </c>
      <c r="J55" s="29">
        <f>IFERROR(IF(F55&gt;=参数配置!$C$13,"全仓清仓",IF(H55&gt;C55,"卖出超额","正常定投")),"")</f>
        <v/>
      </c>
      <c r="K55" s="30">
        <f>IFERROR(I55,"")</f>
        <v/>
      </c>
      <c r="L55" s="17" t="n"/>
      <c r="M55" s="27" t="n"/>
      <c r="N55" s="31">
        <f>IFERROR(G55+M55,"")</f>
        <v/>
      </c>
      <c r="O55" s="7">
        <f>IFERROR(O54+L55,"")</f>
        <v/>
      </c>
      <c r="P55" s="7">
        <f>IFERROR(-L55,"")</f>
        <v/>
      </c>
      <c r="Q55" s="32" t="n"/>
    </row>
    <row r="56">
      <c r="A56" s="33" t="n"/>
      <c r="B56" s="15" t="n"/>
      <c r="C56" s="7">
        <f>IFERROR(参数配置!$C$6*(B56-$S$3),"")</f>
        <v/>
      </c>
      <c r="D56" s="27" t="n"/>
      <c r="E56" s="27" t="n"/>
      <c r="F56" s="28">
        <f>IFERROR((D56-E56)/E56,"")</f>
        <v/>
      </c>
      <c r="G56" s="27" t="n"/>
      <c r="H56" s="7">
        <f>IFERROR(G56*D56,"")</f>
        <v/>
      </c>
      <c r="I56" s="7">
        <f>IFERROR(IF(F56&gt;=参数配置!$C$13,-H56,C56-H56),"")</f>
        <v/>
      </c>
      <c r="J56" s="29">
        <f>IFERROR(IF(F56&gt;=参数配置!$C$13,"全仓清仓",IF(H56&gt;C56,"卖出超额","正常定投")),"")</f>
        <v/>
      </c>
      <c r="K56" s="30">
        <f>IFERROR(I56,"")</f>
        <v/>
      </c>
      <c r="L56" s="17" t="n"/>
      <c r="M56" s="27" t="n"/>
      <c r="N56" s="31">
        <f>IFERROR(G56+M56,"")</f>
        <v/>
      </c>
      <c r="O56" s="7">
        <f>IFERROR(O55+L56,"")</f>
        <v/>
      </c>
      <c r="P56" s="7">
        <f>IFERROR(-L56,"")</f>
        <v/>
      </c>
      <c r="Q56" s="32" t="n"/>
    </row>
    <row r="57">
      <c r="A57" s="33" t="n"/>
      <c r="B57" s="15" t="n"/>
      <c r="C57" s="7">
        <f>IFERROR(参数配置!$C$6*(B57-$S$3),"")</f>
        <v/>
      </c>
      <c r="D57" s="27" t="n"/>
      <c r="E57" s="27" t="n"/>
      <c r="F57" s="28">
        <f>IFERROR((D57-E57)/E57,"")</f>
        <v/>
      </c>
      <c r="G57" s="27" t="n"/>
      <c r="H57" s="7">
        <f>IFERROR(G57*D57,"")</f>
        <v/>
      </c>
      <c r="I57" s="7">
        <f>IFERROR(IF(F57&gt;=参数配置!$C$13,-H57,C57-H57),"")</f>
        <v/>
      </c>
      <c r="J57" s="29">
        <f>IFERROR(IF(F57&gt;=参数配置!$C$13,"全仓清仓",IF(H57&gt;C57,"卖出超额","正常定投")),"")</f>
        <v/>
      </c>
      <c r="K57" s="30">
        <f>IFERROR(I57,"")</f>
        <v/>
      </c>
      <c r="L57" s="17" t="n"/>
      <c r="M57" s="27" t="n"/>
      <c r="N57" s="31">
        <f>IFERROR(G57+M57,"")</f>
        <v/>
      </c>
      <c r="O57" s="7">
        <f>IFERROR(O56+L57,"")</f>
        <v/>
      </c>
      <c r="P57" s="7">
        <f>IFERROR(-L57,"")</f>
        <v/>
      </c>
      <c r="Q57" s="32" t="n"/>
    </row>
    <row r="58">
      <c r="A58" s="33" t="n"/>
      <c r="B58" s="15" t="n"/>
      <c r="C58" s="7">
        <f>IFERROR(参数配置!$C$6*(B58-$S$3),"")</f>
        <v/>
      </c>
      <c r="D58" s="27" t="n"/>
      <c r="E58" s="27" t="n"/>
      <c r="F58" s="28">
        <f>IFERROR((D58-E58)/E58,"")</f>
        <v/>
      </c>
      <c r="G58" s="27" t="n"/>
      <c r="H58" s="7">
        <f>IFERROR(G58*D58,"")</f>
        <v/>
      </c>
      <c r="I58" s="7">
        <f>IFERROR(IF(F58&gt;=参数配置!$C$13,-H58,C58-H58),"")</f>
        <v/>
      </c>
      <c r="J58" s="29">
        <f>IFERROR(IF(F58&gt;=参数配置!$C$13,"全仓清仓",IF(H58&gt;C58,"卖出超额","正常定投")),"")</f>
        <v/>
      </c>
      <c r="K58" s="30">
        <f>IFERROR(I58,"")</f>
        <v/>
      </c>
      <c r="L58" s="17" t="n"/>
      <c r="M58" s="27" t="n"/>
      <c r="N58" s="31">
        <f>IFERROR(G58+M58,"")</f>
        <v/>
      </c>
      <c r="O58" s="7">
        <f>IFERROR(O57+L58,"")</f>
        <v/>
      </c>
      <c r="P58" s="7">
        <f>IFERROR(-L58,"")</f>
        <v/>
      </c>
      <c r="Q58" s="32" t="n"/>
    </row>
    <row r="59">
      <c r="A59" s="33" t="n"/>
      <c r="B59" s="15" t="n"/>
      <c r="C59" s="7">
        <f>IFERROR(参数配置!$C$6*(B59-$S$3),"")</f>
        <v/>
      </c>
      <c r="D59" s="27" t="n"/>
      <c r="E59" s="27" t="n"/>
      <c r="F59" s="28">
        <f>IFERROR((D59-E59)/E59,"")</f>
        <v/>
      </c>
      <c r="G59" s="27" t="n"/>
      <c r="H59" s="7">
        <f>IFERROR(G59*D59,"")</f>
        <v/>
      </c>
      <c r="I59" s="7">
        <f>IFERROR(IF(F59&gt;=参数配置!$C$13,-H59,C59-H59),"")</f>
        <v/>
      </c>
      <c r="J59" s="29">
        <f>IFERROR(IF(F59&gt;=参数配置!$C$13,"全仓清仓",IF(H59&gt;C59,"卖出超额","正常定投")),"")</f>
        <v/>
      </c>
      <c r="K59" s="30">
        <f>IFERROR(I59,"")</f>
        <v/>
      </c>
      <c r="L59" s="17" t="n"/>
      <c r="M59" s="27" t="n"/>
      <c r="N59" s="31">
        <f>IFERROR(G59+M59,"")</f>
        <v/>
      </c>
      <c r="O59" s="7">
        <f>IFERROR(O58+L59,"")</f>
        <v/>
      </c>
      <c r="P59" s="7">
        <f>IFERROR(-L59,"")</f>
        <v/>
      </c>
      <c r="Q59" s="32" t="n"/>
    </row>
    <row r="60">
      <c r="A60" s="33" t="n"/>
      <c r="B60" s="15" t="n"/>
      <c r="C60" s="7">
        <f>IFERROR(参数配置!$C$6*(B60-$S$3),"")</f>
        <v/>
      </c>
      <c r="D60" s="27" t="n"/>
      <c r="E60" s="27" t="n"/>
      <c r="F60" s="28">
        <f>IFERROR((D60-E60)/E60,"")</f>
        <v/>
      </c>
      <c r="G60" s="27" t="n"/>
      <c r="H60" s="7">
        <f>IFERROR(G60*D60,"")</f>
        <v/>
      </c>
      <c r="I60" s="7">
        <f>IFERROR(IF(F60&gt;=参数配置!$C$13,-H60,C60-H60),"")</f>
        <v/>
      </c>
      <c r="J60" s="29">
        <f>IFERROR(IF(F60&gt;=参数配置!$C$13,"全仓清仓",IF(H60&gt;C60,"卖出超额","正常定投")),"")</f>
        <v/>
      </c>
      <c r="K60" s="30">
        <f>IFERROR(I60,"")</f>
        <v/>
      </c>
      <c r="L60" s="17" t="n"/>
      <c r="M60" s="27" t="n"/>
      <c r="N60" s="31">
        <f>IFERROR(G60+M60,"")</f>
        <v/>
      </c>
      <c r="O60" s="7">
        <f>IFERROR(O59+L60,"")</f>
        <v/>
      </c>
      <c r="P60" s="7">
        <f>IFERROR(-L60,"")</f>
        <v/>
      </c>
      <c r="Q60" s="32" t="n"/>
    </row>
    <row r="61">
      <c r="A61" s="33" t="n"/>
      <c r="B61" s="15" t="n"/>
      <c r="C61" s="7">
        <f>IFERROR(参数配置!$C$6*(B61-$S$3),"")</f>
        <v/>
      </c>
      <c r="D61" s="27" t="n"/>
      <c r="E61" s="27" t="n"/>
      <c r="F61" s="28">
        <f>IFERROR((D61-E61)/E61,"")</f>
        <v/>
      </c>
      <c r="G61" s="27" t="n"/>
      <c r="H61" s="7">
        <f>IFERROR(G61*D61,"")</f>
        <v/>
      </c>
      <c r="I61" s="7">
        <f>IFERROR(IF(F61&gt;=参数配置!$C$13,-H61,C61-H61),"")</f>
        <v/>
      </c>
      <c r="J61" s="29">
        <f>IFERROR(IF(F61&gt;=参数配置!$C$13,"全仓清仓",IF(H61&gt;C61,"卖出超额","正常定投")),"")</f>
        <v/>
      </c>
      <c r="K61" s="30">
        <f>IFERROR(I61,"")</f>
        <v/>
      </c>
      <c r="L61" s="17" t="n"/>
      <c r="M61" s="27" t="n"/>
      <c r="N61" s="31">
        <f>IFERROR(G61+M61,"")</f>
        <v/>
      </c>
      <c r="O61" s="7">
        <f>IFERROR(O60+L61,"")</f>
        <v/>
      </c>
      <c r="P61" s="7">
        <f>IFERROR(-L61,"")</f>
        <v/>
      </c>
      <c r="Q61" s="32" t="n"/>
    </row>
    <row r="62">
      <c r="A62" s="33" t="n"/>
      <c r="B62" s="15" t="n"/>
      <c r="C62" s="7">
        <f>IFERROR(参数配置!$C$6*(B62-$S$3),"")</f>
        <v/>
      </c>
      <c r="D62" s="27" t="n"/>
      <c r="E62" s="27" t="n"/>
      <c r="F62" s="28">
        <f>IFERROR((D62-E62)/E62,"")</f>
        <v/>
      </c>
      <c r="G62" s="27" t="n"/>
      <c r="H62" s="7">
        <f>IFERROR(G62*D62,"")</f>
        <v/>
      </c>
      <c r="I62" s="7">
        <f>IFERROR(IF(F62&gt;=参数配置!$C$13,-H62,C62-H62),"")</f>
        <v/>
      </c>
      <c r="J62" s="29">
        <f>IFERROR(IF(F62&gt;=参数配置!$C$13,"全仓清仓",IF(H62&gt;C62,"卖出超额","正常定投")),"")</f>
        <v/>
      </c>
      <c r="K62" s="30">
        <f>IFERROR(I62,"")</f>
        <v/>
      </c>
      <c r="L62" s="17" t="n"/>
      <c r="M62" s="27" t="n"/>
      <c r="N62" s="31">
        <f>IFERROR(G62+M62,"")</f>
        <v/>
      </c>
      <c r="O62" s="7">
        <f>IFERROR(O61+L62,"")</f>
        <v/>
      </c>
      <c r="P62" s="7">
        <f>IFERROR(-L62,"")</f>
        <v/>
      </c>
      <c r="Q62" s="32" t="n"/>
    </row>
    <row r="63">
      <c r="A63" s="33" t="n"/>
      <c r="B63" s="15" t="n"/>
      <c r="C63" s="7">
        <f>IFERROR(参数配置!$C$6*(B63-$S$3),"")</f>
        <v/>
      </c>
      <c r="D63" s="27" t="n"/>
      <c r="E63" s="27" t="n"/>
      <c r="F63" s="28">
        <f>IFERROR((D63-E63)/E63,"")</f>
        <v/>
      </c>
      <c r="G63" s="27" t="n"/>
      <c r="H63" s="7">
        <f>IFERROR(G63*D63,"")</f>
        <v/>
      </c>
      <c r="I63" s="7">
        <f>IFERROR(IF(F63&gt;=参数配置!$C$13,-H63,C63-H63),"")</f>
        <v/>
      </c>
      <c r="J63" s="29">
        <f>IFERROR(IF(F63&gt;=参数配置!$C$13,"全仓清仓",IF(H63&gt;C63,"卖出超额","正常定投")),"")</f>
        <v/>
      </c>
      <c r="K63" s="30">
        <f>IFERROR(I63,"")</f>
        <v/>
      </c>
      <c r="L63" s="17" t="n"/>
      <c r="M63" s="27" t="n"/>
      <c r="N63" s="31">
        <f>IFERROR(G63+M63,"")</f>
        <v/>
      </c>
      <c r="O63" s="7">
        <f>IFERROR(O62+L63,"")</f>
        <v/>
      </c>
      <c r="P63" s="7">
        <f>IFERROR(-L63,"")</f>
        <v/>
      </c>
      <c r="Q63" s="32" t="n"/>
    </row>
    <row r="64">
      <c r="A64" s="33" t="n"/>
      <c r="B64" s="15" t="n"/>
      <c r="C64" s="7">
        <f>IFERROR(参数配置!$C$6*(B64-$S$3),"")</f>
        <v/>
      </c>
      <c r="D64" s="27" t="n"/>
      <c r="E64" s="27" t="n"/>
      <c r="F64" s="28">
        <f>IFERROR((D64-E64)/E64,"")</f>
        <v/>
      </c>
      <c r="G64" s="27" t="n"/>
      <c r="H64" s="7">
        <f>IFERROR(G64*D64,"")</f>
        <v/>
      </c>
      <c r="I64" s="7">
        <f>IFERROR(IF(F64&gt;=参数配置!$C$13,-H64,C64-H64),"")</f>
        <v/>
      </c>
      <c r="J64" s="29">
        <f>IFERROR(IF(F64&gt;=参数配置!$C$13,"全仓清仓",IF(H64&gt;C64,"卖出超额","正常定投")),"")</f>
        <v/>
      </c>
      <c r="K64" s="30">
        <f>IFERROR(I64,"")</f>
        <v/>
      </c>
      <c r="L64" s="17" t="n"/>
      <c r="M64" s="27" t="n"/>
      <c r="N64" s="31">
        <f>IFERROR(G64+M64,"")</f>
        <v/>
      </c>
      <c r="O64" s="7">
        <f>IFERROR(O63+L64,"")</f>
        <v/>
      </c>
      <c r="P64" s="7">
        <f>IFERROR(-L64,"")</f>
        <v/>
      </c>
      <c r="Q64" s="32" t="n"/>
    </row>
    <row r="65">
      <c r="A65" s="33" t="n"/>
      <c r="B65" s="15" t="n"/>
      <c r="C65" s="7">
        <f>IFERROR(参数配置!$C$6*(B65-$S$3),"")</f>
        <v/>
      </c>
      <c r="D65" s="27" t="n"/>
      <c r="E65" s="27" t="n"/>
      <c r="F65" s="28">
        <f>IFERROR((D65-E65)/E65,"")</f>
        <v/>
      </c>
      <c r="G65" s="27" t="n"/>
      <c r="H65" s="7">
        <f>IFERROR(G65*D65,"")</f>
        <v/>
      </c>
      <c r="I65" s="7">
        <f>IFERROR(IF(F65&gt;=参数配置!$C$13,-H65,C65-H65),"")</f>
        <v/>
      </c>
      <c r="J65" s="29">
        <f>IFERROR(IF(F65&gt;=参数配置!$C$13,"全仓清仓",IF(H65&gt;C65,"卖出超额","正常定投")),"")</f>
        <v/>
      </c>
      <c r="K65" s="30">
        <f>IFERROR(I65,"")</f>
        <v/>
      </c>
      <c r="L65" s="17" t="n"/>
      <c r="M65" s="27" t="n"/>
      <c r="N65" s="31">
        <f>IFERROR(G65+M65,"")</f>
        <v/>
      </c>
      <c r="O65" s="7">
        <f>IFERROR(O64+L65,"")</f>
        <v/>
      </c>
      <c r="P65" s="7">
        <f>IFERROR(-L65,"")</f>
        <v/>
      </c>
      <c r="Q65" s="32" t="n"/>
    </row>
    <row r="66">
      <c r="A66" s="33" t="n"/>
      <c r="B66" s="15" t="n"/>
      <c r="C66" s="7">
        <f>IFERROR(参数配置!$C$6*(B66-$S$3),"")</f>
        <v/>
      </c>
      <c r="D66" s="27" t="n"/>
      <c r="E66" s="27" t="n"/>
      <c r="F66" s="28">
        <f>IFERROR((D66-E66)/E66,"")</f>
        <v/>
      </c>
      <c r="G66" s="27" t="n"/>
      <c r="H66" s="7">
        <f>IFERROR(G66*D66,"")</f>
        <v/>
      </c>
      <c r="I66" s="7">
        <f>IFERROR(IF(F66&gt;=参数配置!$C$13,-H66,C66-H66),"")</f>
        <v/>
      </c>
      <c r="J66" s="29">
        <f>IFERROR(IF(F66&gt;=参数配置!$C$13,"全仓清仓",IF(H66&gt;C66,"卖出超额","正常定投")),"")</f>
        <v/>
      </c>
      <c r="K66" s="30">
        <f>IFERROR(I66,"")</f>
        <v/>
      </c>
      <c r="L66" s="17" t="n"/>
      <c r="M66" s="27" t="n"/>
      <c r="N66" s="31">
        <f>IFERROR(G66+M66,"")</f>
        <v/>
      </c>
      <c r="O66" s="7">
        <f>IFERROR(O65+L66,"")</f>
        <v/>
      </c>
      <c r="P66" s="7">
        <f>IFERROR(-L66,"")</f>
        <v/>
      </c>
      <c r="Q66" s="32" t="n"/>
    </row>
    <row r="67">
      <c r="A67" s="33" t="n"/>
      <c r="B67" s="15" t="n"/>
      <c r="C67" s="7">
        <f>IFERROR(参数配置!$C$6*(B67-$S$3),"")</f>
        <v/>
      </c>
      <c r="D67" s="27" t="n"/>
      <c r="E67" s="27" t="n"/>
      <c r="F67" s="28">
        <f>IFERROR((D67-E67)/E67,"")</f>
        <v/>
      </c>
      <c r="G67" s="27" t="n"/>
      <c r="H67" s="7">
        <f>IFERROR(G67*D67,"")</f>
        <v/>
      </c>
      <c r="I67" s="7">
        <f>IFERROR(IF(F67&gt;=参数配置!$C$13,-H67,C67-H67),"")</f>
        <v/>
      </c>
      <c r="J67" s="29">
        <f>IFERROR(IF(F67&gt;=参数配置!$C$13,"全仓清仓",IF(H67&gt;C67,"卖出超额","正常定投")),"")</f>
        <v/>
      </c>
      <c r="K67" s="30">
        <f>IFERROR(I67,"")</f>
        <v/>
      </c>
      <c r="L67" s="17" t="n"/>
      <c r="M67" s="27" t="n"/>
      <c r="N67" s="31">
        <f>IFERROR(G67+M67,"")</f>
        <v/>
      </c>
      <c r="O67" s="7">
        <f>IFERROR(O66+L67,"")</f>
        <v/>
      </c>
      <c r="P67" s="7">
        <f>IFERROR(-L67,"")</f>
        <v/>
      </c>
      <c r="Q67" s="32" t="n"/>
    </row>
    <row r="68">
      <c r="A68" s="33" t="n"/>
      <c r="B68" s="15" t="n"/>
      <c r="C68" s="7">
        <f>IFERROR(参数配置!$C$6*(B68-$S$3),"")</f>
        <v/>
      </c>
      <c r="D68" s="27" t="n"/>
      <c r="E68" s="27" t="n"/>
      <c r="F68" s="28">
        <f>IFERROR((D68-E68)/E68,"")</f>
        <v/>
      </c>
      <c r="G68" s="27" t="n"/>
      <c r="H68" s="7">
        <f>IFERROR(G68*D68,"")</f>
        <v/>
      </c>
      <c r="I68" s="7">
        <f>IFERROR(IF(F68&gt;=参数配置!$C$13,-H68,C68-H68),"")</f>
        <v/>
      </c>
      <c r="J68" s="29">
        <f>IFERROR(IF(F68&gt;=参数配置!$C$13,"全仓清仓",IF(H68&gt;C68,"卖出超额","正常定投")),"")</f>
        <v/>
      </c>
      <c r="K68" s="30">
        <f>IFERROR(I68,"")</f>
        <v/>
      </c>
      <c r="L68" s="17" t="n"/>
      <c r="M68" s="27" t="n"/>
      <c r="N68" s="31">
        <f>IFERROR(G68+M68,"")</f>
        <v/>
      </c>
      <c r="O68" s="7">
        <f>IFERROR(O67+L68,"")</f>
        <v/>
      </c>
      <c r="P68" s="7">
        <f>IFERROR(-L68,"")</f>
        <v/>
      </c>
      <c r="Q68" s="32" t="n"/>
    </row>
    <row r="69">
      <c r="A69" s="33" t="n"/>
      <c r="B69" s="15" t="n"/>
      <c r="C69" s="7">
        <f>IFERROR(参数配置!$C$6*(B69-$S$3),"")</f>
        <v/>
      </c>
      <c r="D69" s="27" t="n"/>
      <c r="E69" s="27" t="n"/>
      <c r="F69" s="28">
        <f>IFERROR((D69-E69)/E69,"")</f>
        <v/>
      </c>
      <c r="G69" s="27" t="n"/>
      <c r="H69" s="7">
        <f>IFERROR(G69*D69,"")</f>
        <v/>
      </c>
      <c r="I69" s="7">
        <f>IFERROR(IF(F69&gt;=参数配置!$C$13,-H69,C69-H69),"")</f>
        <v/>
      </c>
      <c r="J69" s="29">
        <f>IFERROR(IF(F69&gt;=参数配置!$C$13,"全仓清仓",IF(H69&gt;C69,"卖出超额","正常定投")),"")</f>
        <v/>
      </c>
      <c r="K69" s="30">
        <f>IFERROR(I69,"")</f>
        <v/>
      </c>
      <c r="L69" s="17" t="n"/>
      <c r="M69" s="27" t="n"/>
      <c r="N69" s="31">
        <f>IFERROR(G69+M69,"")</f>
        <v/>
      </c>
      <c r="O69" s="7">
        <f>IFERROR(O68+L69,"")</f>
        <v/>
      </c>
      <c r="P69" s="7">
        <f>IFERROR(-L69,"")</f>
        <v/>
      </c>
      <c r="Q69" s="32" t="n"/>
    </row>
    <row r="70">
      <c r="A70" s="33" t="n"/>
      <c r="B70" s="15" t="n"/>
      <c r="C70" s="7">
        <f>IFERROR(参数配置!$C$6*(B70-$S$3),"")</f>
        <v/>
      </c>
      <c r="D70" s="27" t="n"/>
      <c r="E70" s="27" t="n"/>
      <c r="F70" s="28">
        <f>IFERROR((D70-E70)/E70,"")</f>
        <v/>
      </c>
      <c r="G70" s="27" t="n"/>
      <c r="H70" s="7">
        <f>IFERROR(G70*D70,"")</f>
        <v/>
      </c>
      <c r="I70" s="7">
        <f>IFERROR(IF(F70&gt;=参数配置!$C$13,-H70,C70-H70),"")</f>
        <v/>
      </c>
      <c r="J70" s="29">
        <f>IFERROR(IF(F70&gt;=参数配置!$C$13,"全仓清仓",IF(H70&gt;C70,"卖出超额","正常定投")),"")</f>
        <v/>
      </c>
      <c r="K70" s="30">
        <f>IFERROR(I70,"")</f>
        <v/>
      </c>
      <c r="L70" s="17" t="n"/>
      <c r="M70" s="27" t="n"/>
      <c r="N70" s="31">
        <f>IFERROR(G70+M70,"")</f>
        <v/>
      </c>
      <c r="O70" s="7">
        <f>IFERROR(O69+L70,"")</f>
        <v/>
      </c>
      <c r="P70" s="7">
        <f>IFERROR(-L70,"")</f>
        <v/>
      </c>
      <c r="Q70" s="32" t="n"/>
    </row>
    <row r="71">
      <c r="A71" s="33" t="n"/>
      <c r="B71" s="15" t="n"/>
      <c r="C71" s="7">
        <f>IFERROR(参数配置!$C$6*(B71-$S$3),"")</f>
        <v/>
      </c>
      <c r="D71" s="27" t="n"/>
      <c r="E71" s="27" t="n"/>
      <c r="F71" s="28">
        <f>IFERROR((D71-E71)/E71,"")</f>
        <v/>
      </c>
      <c r="G71" s="27" t="n"/>
      <c r="H71" s="7">
        <f>IFERROR(G71*D71,"")</f>
        <v/>
      </c>
      <c r="I71" s="7">
        <f>IFERROR(IF(F71&gt;=参数配置!$C$13,-H71,C71-H71),"")</f>
        <v/>
      </c>
      <c r="J71" s="29">
        <f>IFERROR(IF(F71&gt;=参数配置!$C$13,"全仓清仓",IF(H71&gt;C71,"卖出超额","正常定投")),"")</f>
        <v/>
      </c>
      <c r="K71" s="30">
        <f>IFERROR(I71,"")</f>
        <v/>
      </c>
      <c r="L71" s="17" t="n"/>
      <c r="M71" s="27" t="n"/>
      <c r="N71" s="31">
        <f>IFERROR(G71+M71,"")</f>
        <v/>
      </c>
      <c r="O71" s="7">
        <f>IFERROR(O70+L71,"")</f>
        <v/>
      </c>
      <c r="P71" s="7">
        <f>IFERROR(-L71,"")</f>
        <v/>
      </c>
      <c r="Q71" s="32" t="n"/>
    </row>
    <row r="72">
      <c r="A72" s="33" t="n"/>
      <c r="B72" s="15" t="n"/>
      <c r="C72" s="7">
        <f>IFERROR(参数配置!$C$6*(B72-$S$3),"")</f>
        <v/>
      </c>
      <c r="D72" s="27" t="n"/>
      <c r="E72" s="27" t="n"/>
      <c r="F72" s="28">
        <f>IFERROR((D72-E72)/E72,"")</f>
        <v/>
      </c>
      <c r="G72" s="27" t="n"/>
      <c r="H72" s="7">
        <f>IFERROR(G72*D72,"")</f>
        <v/>
      </c>
      <c r="I72" s="7">
        <f>IFERROR(IF(F72&gt;=参数配置!$C$13,-H72,C72-H72),"")</f>
        <v/>
      </c>
      <c r="J72" s="29">
        <f>IFERROR(IF(F72&gt;=参数配置!$C$13,"全仓清仓",IF(H72&gt;C72,"卖出超额","正常定投")),"")</f>
        <v/>
      </c>
      <c r="K72" s="30">
        <f>IFERROR(I72,"")</f>
        <v/>
      </c>
      <c r="L72" s="17" t="n"/>
      <c r="M72" s="27" t="n"/>
      <c r="N72" s="31">
        <f>IFERROR(G72+M72,"")</f>
        <v/>
      </c>
      <c r="O72" s="7">
        <f>IFERROR(O71+L72,"")</f>
        <v/>
      </c>
      <c r="P72" s="7">
        <f>IFERROR(-L72,"")</f>
        <v/>
      </c>
      <c r="Q72" s="32" t="n"/>
    </row>
    <row r="73">
      <c r="A73" s="33" t="n"/>
      <c r="B73" s="15" t="n"/>
      <c r="C73" s="7">
        <f>IFERROR(参数配置!$C$6*(B73-$S$3),"")</f>
        <v/>
      </c>
      <c r="D73" s="27" t="n"/>
      <c r="E73" s="27" t="n"/>
      <c r="F73" s="28">
        <f>IFERROR((D73-E73)/E73,"")</f>
        <v/>
      </c>
      <c r="G73" s="27" t="n"/>
      <c r="H73" s="7">
        <f>IFERROR(G73*D73,"")</f>
        <v/>
      </c>
      <c r="I73" s="7">
        <f>IFERROR(IF(F73&gt;=参数配置!$C$13,-H73,C73-H73),"")</f>
        <v/>
      </c>
      <c r="J73" s="29">
        <f>IFERROR(IF(F73&gt;=参数配置!$C$13,"全仓清仓",IF(H73&gt;C73,"卖出超额","正常定投")),"")</f>
        <v/>
      </c>
      <c r="K73" s="30">
        <f>IFERROR(I73,"")</f>
        <v/>
      </c>
      <c r="L73" s="17" t="n"/>
      <c r="M73" s="27" t="n"/>
      <c r="N73" s="31">
        <f>IFERROR(G73+M73,"")</f>
        <v/>
      </c>
      <c r="O73" s="7">
        <f>IFERROR(O72+L73,"")</f>
        <v/>
      </c>
      <c r="P73" s="7">
        <f>IFERROR(-L73,"")</f>
        <v/>
      </c>
      <c r="Q73" s="32" t="n"/>
    </row>
    <row r="74">
      <c r="A74" s="33" t="n"/>
      <c r="B74" s="15" t="n"/>
      <c r="C74" s="7">
        <f>IFERROR(参数配置!$C$6*(B74-$S$3),"")</f>
        <v/>
      </c>
      <c r="D74" s="27" t="n"/>
      <c r="E74" s="27" t="n"/>
      <c r="F74" s="28">
        <f>IFERROR((D74-E74)/E74,"")</f>
        <v/>
      </c>
      <c r="G74" s="27" t="n"/>
      <c r="H74" s="7">
        <f>IFERROR(G74*D74,"")</f>
        <v/>
      </c>
      <c r="I74" s="7">
        <f>IFERROR(IF(F74&gt;=参数配置!$C$13,-H74,C74-H74),"")</f>
        <v/>
      </c>
      <c r="J74" s="29">
        <f>IFERROR(IF(F74&gt;=参数配置!$C$13,"全仓清仓",IF(H74&gt;C74,"卖出超额","正常定投")),"")</f>
        <v/>
      </c>
      <c r="K74" s="30">
        <f>IFERROR(I74,"")</f>
        <v/>
      </c>
      <c r="L74" s="17" t="n"/>
      <c r="M74" s="27" t="n"/>
      <c r="N74" s="31">
        <f>IFERROR(G74+M74,"")</f>
        <v/>
      </c>
      <c r="O74" s="7">
        <f>IFERROR(O73+L74,"")</f>
        <v/>
      </c>
      <c r="P74" s="7">
        <f>IFERROR(-L74,"")</f>
        <v/>
      </c>
      <c r="Q74" s="32" t="n"/>
    </row>
    <row r="75">
      <c r="A75" s="33" t="n"/>
      <c r="B75" s="15" t="n"/>
      <c r="C75" s="7">
        <f>IFERROR(参数配置!$C$6*(B75-$S$3),"")</f>
        <v/>
      </c>
      <c r="D75" s="27" t="n"/>
      <c r="E75" s="27" t="n"/>
      <c r="F75" s="28">
        <f>IFERROR((D75-E75)/E75,"")</f>
        <v/>
      </c>
      <c r="G75" s="27" t="n"/>
      <c r="H75" s="7">
        <f>IFERROR(G75*D75,"")</f>
        <v/>
      </c>
      <c r="I75" s="7">
        <f>IFERROR(IF(F75&gt;=参数配置!$C$13,-H75,C75-H75),"")</f>
        <v/>
      </c>
      <c r="J75" s="29">
        <f>IFERROR(IF(F75&gt;=参数配置!$C$13,"全仓清仓",IF(H75&gt;C75,"卖出超额","正常定投")),"")</f>
        <v/>
      </c>
      <c r="K75" s="30">
        <f>IFERROR(I75,"")</f>
        <v/>
      </c>
      <c r="L75" s="17" t="n"/>
      <c r="M75" s="27" t="n"/>
      <c r="N75" s="31">
        <f>IFERROR(G75+M75,"")</f>
        <v/>
      </c>
      <c r="O75" s="7">
        <f>IFERROR(O74+L75,"")</f>
        <v/>
      </c>
      <c r="P75" s="7">
        <f>IFERROR(-L75,"")</f>
        <v/>
      </c>
      <c r="Q75" s="32" t="n"/>
    </row>
    <row r="76">
      <c r="A76" s="33" t="n"/>
      <c r="B76" s="15" t="n"/>
      <c r="C76" s="7">
        <f>IFERROR(参数配置!$C$6*(B76-$S$3),"")</f>
        <v/>
      </c>
      <c r="D76" s="27" t="n"/>
      <c r="E76" s="27" t="n"/>
      <c r="F76" s="28">
        <f>IFERROR((D76-E76)/E76,"")</f>
        <v/>
      </c>
      <c r="G76" s="27" t="n"/>
      <c r="H76" s="7">
        <f>IFERROR(G76*D76,"")</f>
        <v/>
      </c>
      <c r="I76" s="7">
        <f>IFERROR(IF(F76&gt;=参数配置!$C$13,-H76,C76-H76),"")</f>
        <v/>
      </c>
      <c r="J76" s="29">
        <f>IFERROR(IF(F76&gt;=参数配置!$C$13,"全仓清仓",IF(H76&gt;C76,"卖出超额","正常定投")),"")</f>
        <v/>
      </c>
      <c r="K76" s="30">
        <f>IFERROR(I76,"")</f>
        <v/>
      </c>
      <c r="L76" s="17" t="n"/>
      <c r="M76" s="27" t="n"/>
      <c r="N76" s="31">
        <f>IFERROR(G76+M76,"")</f>
        <v/>
      </c>
      <c r="O76" s="7">
        <f>IFERROR(O75+L76,"")</f>
        <v/>
      </c>
      <c r="P76" s="7">
        <f>IFERROR(-L76,"")</f>
        <v/>
      </c>
      <c r="Q76" s="32" t="n"/>
    </row>
    <row r="77">
      <c r="A77" s="33" t="n"/>
      <c r="B77" s="15" t="n"/>
      <c r="C77" s="7">
        <f>IFERROR(参数配置!$C$6*(B77-$S$3),"")</f>
        <v/>
      </c>
      <c r="D77" s="27" t="n"/>
      <c r="E77" s="27" t="n"/>
      <c r="F77" s="28">
        <f>IFERROR((D77-E77)/E77,"")</f>
        <v/>
      </c>
      <c r="G77" s="27" t="n"/>
      <c r="H77" s="7">
        <f>IFERROR(G77*D77,"")</f>
        <v/>
      </c>
      <c r="I77" s="7">
        <f>IFERROR(IF(F77&gt;=参数配置!$C$13,-H77,C77-H77),"")</f>
        <v/>
      </c>
      <c r="J77" s="29">
        <f>IFERROR(IF(F77&gt;=参数配置!$C$13,"全仓清仓",IF(H77&gt;C77,"卖出超额","正常定投")),"")</f>
        <v/>
      </c>
      <c r="K77" s="30">
        <f>IFERROR(I77,"")</f>
        <v/>
      </c>
      <c r="L77" s="17" t="n"/>
      <c r="M77" s="27" t="n"/>
      <c r="N77" s="31">
        <f>IFERROR(G77+M77,"")</f>
        <v/>
      </c>
      <c r="O77" s="7">
        <f>IFERROR(O76+L77,"")</f>
        <v/>
      </c>
      <c r="P77" s="7">
        <f>IFERROR(-L77,"")</f>
        <v/>
      </c>
      <c r="Q77" s="32" t="n"/>
    </row>
    <row r="78">
      <c r="A78" s="33" t="n"/>
      <c r="B78" s="15" t="n"/>
      <c r="C78" s="7">
        <f>IFERROR(参数配置!$C$6*(B78-$S$3),"")</f>
        <v/>
      </c>
      <c r="D78" s="27" t="n"/>
      <c r="E78" s="27" t="n"/>
      <c r="F78" s="28">
        <f>IFERROR((D78-E78)/E78,"")</f>
        <v/>
      </c>
      <c r="G78" s="27" t="n"/>
      <c r="H78" s="7">
        <f>IFERROR(G78*D78,"")</f>
        <v/>
      </c>
      <c r="I78" s="7">
        <f>IFERROR(IF(F78&gt;=参数配置!$C$13,-H78,C78-H78),"")</f>
        <v/>
      </c>
      <c r="J78" s="29">
        <f>IFERROR(IF(F78&gt;=参数配置!$C$13,"全仓清仓",IF(H78&gt;C78,"卖出超额","正常定投")),"")</f>
        <v/>
      </c>
      <c r="K78" s="30">
        <f>IFERROR(I78,"")</f>
        <v/>
      </c>
      <c r="L78" s="17" t="n"/>
      <c r="M78" s="27" t="n"/>
      <c r="N78" s="31">
        <f>IFERROR(G78+M78,"")</f>
        <v/>
      </c>
      <c r="O78" s="7">
        <f>IFERROR(O77+L78,"")</f>
        <v/>
      </c>
      <c r="P78" s="7">
        <f>IFERROR(-L78,"")</f>
        <v/>
      </c>
      <c r="Q78" s="32" t="n"/>
    </row>
    <row r="79">
      <c r="A79" s="33" t="n"/>
      <c r="B79" s="15" t="n"/>
      <c r="C79" s="7">
        <f>IFERROR(参数配置!$C$6*(B79-$S$3),"")</f>
        <v/>
      </c>
      <c r="D79" s="27" t="n"/>
      <c r="E79" s="27" t="n"/>
      <c r="F79" s="28">
        <f>IFERROR((D79-E79)/E79,"")</f>
        <v/>
      </c>
      <c r="G79" s="27" t="n"/>
      <c r="H79" s="7">
        <f>IFERROR(G79*D79,"")</f>
        <v/>
      </c>
      <c r="I79" s="7">
        <f>IFERROR(IF(F79&gt;=参数配置!$C$13,-H79,C79-H79),"")</f>
        <v/>
      </c>
      <c r="J79" s="29">
        <f>IFERROR(IF(F79&gt;=参数配置!$C$13,"全仓清仓",IF(H79&gt;C79,"卖出超额","正常定投")),"")</f>
        <v/>
      </c>
      <c r="K79" s="30">
        <f>IFERROR(I79,"")</f>
        <v/>
      </c>
      <c r="L79" s="17" t="n"/>
      <c r="M79" s="27" t="n"/>
      <c r="N79" s="31">
        <f>IFERROR(G79+M79,"")</f>
        <v/>
      </c>
      <c r="O79" s="7">
        <f>IFERROR(O78+L79,"")</f>
        <v/>
      </c>
      <c r="P79" s="7">
        <f>IFERROR(-L79,"")</f>
        <v/>
      </c>
      <c r="Q79" s="32" t="n"/>
    </row>
    <row r="80">
      <c r="A80" s="33" t="n"/>
      <c r="B80" s="15" t="n"/>
      <c r="C80" s="7">
        <f>IFERROR(参数配置!$C$6*(B80-$S$3),"")</f>
        <v/>
      </c>
      <c r="D80" s="27" t="n"/>
      <c r="E80" s="27" t="n"/>
      <c r="F80" s="28">
        <f>IFERROR((D80-E80)/E80,"")</f>
        <v/>
      </c>
      <c r="G80" s="27" t="n"/>
      <c r="H80" s="7">
        <f>IFERROR(G80*D80,"")</f>
        <v/>
      </c>
      <c r="I80" s="7">
        <f>IFERROR(IF(F80&gt;=参数配置!$C$13,-H80,C80-H80),"")</f>
        <v/>
      </c>
      <c r="J80" s="29">
        <f>IFERROR(IF(F80&gt;=参数配置!$C$13,"全仓清仓",IF(H80&gt;C80,"卖出超额","正常定投")),"")</f>
        <v/>
      </c>
      <c r="K80" s="30">
        <f>IFERROR(I80,"")</f>
        <v/>
      </c>
      <c r="L80" s="17" t="n"/>
      <c r="M80" s="27" t="n"/>
      <c r="N80" s="31">
        <f>IFERROR(G80+M80,"")</f>
        <v/>
      </c>
      <c r="O80" s="7">
        <f>IFERROR(O79+L80,"")</f>
        <v/>
      </c>
      <c r="P80" s="7">
        <f>IFERROR(-L80,"")</f>
        <v/>
      </c>
      <c r="Q80" s="32" t="n"/>
    </row>
    <row r="81">
      <c r="A81" s="33" t="n"/>
      <c r="B81" s="15" t="n"/>
      <c r="C81" s="7">
        <f>IFERROR(参数配置!$C$6*(B81-$S$3),"")</f>
        <v/>
      </c>
      <c r="D81" s="27" t="n"/>
      <c r="E81" s="27" t="n"/>
      <c r="F81" s="28">
        <f>IFERROR((D81-E81)/E81,"")</f>
        <v/>
      </c>
      <c r="G81" s="27" t="n"/>
      <c r="H81" s="7">
        <f>IFERROR(G81*D81,"")</f>
        <v/>
      </c>
      <c r="I81" s="7">
        <f>IFERROR(IF(F81&gt;=参数配置!$C$13,-H81,C81-H81),"")</f>
        <v/>
      </c>
      <c r="J81" s="29">
        <f>IFERROR(IF(F81&gt;=参数配置!$C$13,"全仓清仓",IF(H81&gt;C81,"卖出超额","正常定投")),"")</f>
        <v/>
      </c>
      <c r="K81" s="30">
        <f>IFERROR(I81,"")</f>
        <v/>
      </c>
      <c r="L81" s="17" t="n"/>
      <c r="M81" s="27" t="n"/>
      <c r="N81" s="31">
        <f>IFERROR(G81+M81,"")</f>
        <v/>
      </c>
      <c r="O81" s="7">
        <f>IFERROR(O80+L81,"")</f>
        <v/>
      </c>
      <c r="P81" s="7">
        <f>IFERROR(-L81,"")</f>
        <v/>
      </c>
      <c r="Q81" s="32" t="n"/>
    </row>
    <row r="82">
      <c r="A82" s="33" t="n"/>
      <c r="B82" s="15" t="n"/>
      <c r="C82" s="7">
        <f>IFERROR(参数配置!$C$6*(B82-$S$3),"")</f>
        <v/>
      </c>
      <c r="D82" s="27" t="n"/>
      <c r="E82" s="27" t="n"/>
      <c r="F82" s="28">
        <f>IFERROR((D82-E82)/E82,"")</f>
        <v/>
      </c>
      <c r="G82" s="27" t="n"/>
      <c r="H82" s="7">
        <f>IFERROR(G82*D82,"")</f>
        <v/>
      </c>
      <c r="I82" s="7">
        <f>IFERROR(IF(F82&gt;=参数配置!$C$13,-H82,C82-H82),"")</f>
        <v/>
      </c>
      <c r="J82" s="29">
        <f>IFERROR(IF(F82&gt;=参数配置!$C$13,"全仓清仓",IF(H82&gt;C82,"卖出超额","正常定投")),"")</f>
        <v/>
      </c>
      <c r="K82" s="30">
        <f>IFERROR(I82,"")</f>
        <v/>
      </c>
      <c r="L82" s="17" t="n"/>
      <c r="M82" s="27" t="n"/>
      <c r="N82" s="31">
        <f>IFERROR(G82+M82,"")</f>
        <v/>
      </c>
      <c r="O82" s="7">
        <f>IFERROR(O81+L82,"")</f>
        <v/>
      </c>
      <c r="P82" s="7">
        <f>IFERROR(-L82,"")</f>
        <v/>
      </c>
      <c r="Q82" s="32" t="n"/>
    </row>
    <row r="83">
      <c r="A83" s="33" t="n"/>
      <c r="B83" s="15" t="n"/>
      <c r="C83" s="7">
        <f>IFERROR(参数配置!$C$6*(B83-$S$3),"")</f>
        <v/>
      </c>
      <c r="D83" s="27" t="n"/>
      <c r="E83" s="27" t="n"/>
      <c r="F83" s="28">
        <f>IFERROR((D83-E83)/E83,"")</f>
        <v/>
      </c>
      <c r="G83" s="27" t="n"/>
      <c r="H83" s="7">
        <f>IFERROR(G83*D83,"")</f>
        <v/>
      </c>
      <c r="I83" s="7">
        <f>IFERROR(IF(F83&gt;=参数配置!$C$13,-H83,C83-H83),"")</f>
        <v/>
      </c>
      <c r="J83" s="29">
        <f>IFERROR(IF(F83&gt;=参数配置!$C$13,"全仓清仓",IF(H83&gt;C83,"卖出超额","正常定投")),"")</f>
        <v/>
      </c>
      <c r="K83" s="30">
        <f>IFERROR(I83,"")</f>
        <v/>
      </c>
      <c r="L83" s="17" t="n"/>
      <c r="M83" s="27" t="n"/>
      <c r="N83" s="31">
        <f>IFERROR(G83+M83,"")</f>
        <v/>
      </c>
      <c r="O83" s="7">
        <f>IFERROR(O82+L83,"")</f>
        <v/>
      </c>
      <c r="P83" s="7">
        <f>IFERROR(-L83,"")</f>
        <v/>
      </c>
      <c r="Q83" s="32" t="n"/>
    </row>
    <row r="84">
      <c r="A84" s="33" t="n"/>
      <c r="B84" s="15" t="n"/>
      <c r="C84" s="7">
        <f>IFERROR(参数配置!$C$6*(B84-$S$3),"")</f>
        <v/>
      </c>
      <c r="D84" s="27" t="n"/>
      <c r="E84" s="27" t="n"/>
      <c r="F84" s="28">
        <f>IFERROR((D84-E84)/E84,"")</f>
        <v/>
      </c>
      <c r="G84" s="27" t="n"/>
      <c r="H84" s="7">
        <f>IFERROR(G84*D84,"")</f>
        <v/>
      </c>
      <c r="I84" s="7">
        <f>IFERROR(IF(F84&gt;=参数配置!$C$13,-H84,C84-H84),"")</f>
        <v/>
      </c>
      <c r="J84" s="29">
        <f>IFERROR(IF(F84&gt;=参数配置!$C$13,"全仓清仓",IF(H84&gt;C84,"卖出超额","正常定投")),"")</f>
        <v/>
      </c>
      <c r="K84" s="30">
        <f>IFERROR(I84,"")</f>
        <v/>
      </c>
      <c r="L84" s="17" t="n"/>
      <c r="M84" s="27" t="n"/>
      <c r="N84" s="31">
        <f>IFERROR(G84+M84,"")</f>
        <v/>
      </c>
      <c r="O84" s="7">
        <f>IFERROR(O83+L84,"")</f>
        <v/>
      </c>
      <c r="P84" s="7">
        <f>IFERROR(-L84,"")</f>
        <v/>
      </c>
      <c r="Q84" s="32" t="n"/>
    </row>
    <row r="85">
      <c r="A85" s="33" t="n"/>
      <c r="B85" s="15" t="n"/>
      <c r="C85" s="7">
        <f>IFERROR(参数配置!$C$6*(B85-$S$3),"")</f>
        <v/>
      </c>
      <c r="D85" s="27" t="n"/>
      <c r="E85" s="27" t="n"/>
      <c r="F85" s="28">
        <f>IFERROR((D85-E85)/E85,"")</f>
        <v/>
      </c>
      <c r="G85" s="27" t="n"/>
      <c r="H85" s="7">
        <f>IFERROR(G85*D85,"")</f>
        <v/>
      </c>
      <c r="I85" s="7">
        <f>IFERROR(IF(F85&gt;=参数配置!$C$13,-H85,C85-H85),"")</f>
        <v/>
      </c>
      <c r="J85" s="29">
        <f>IFERROR(IF(F85&gt;=参数配置!$C$13,"全仓清仓",IF(H85&gt;C85,"卖出超额","正常定投")),"")</f>
        <v/>
      </c>
      <c r="K85" s="30">
        <f>IFERROR(I85,"")</f>
        <v/>
      </c>
      <c r="L85" s="17" t="n"/>
      <c r="M85" s="27" t="n"/>
      <c r="N85" s="31">
        <f>IFERROR(G85+M85,"")</f>
        <v/>
      </c>
      <c r="O85" s="7">
        <f>IFERROR(O84+L85,"")</f>
        <v/>
      </c>
      <c r="P85" s="7">
        <f>IFERROR(-L85,"")</f>
        <v/>
      </c>
      <c r="Q85" s="32" t="n"/>
    </row>
    <row r="86">
      <c r="A86" s="33" t="n"/>
      <c r="B86" s="15" t="n"/>
      <c r="C86" s="7">
        <f>IFERROR(参数配置!$C$6*(B86-$S$3),"")</f>
        <v/>
      </c>
      <c r="D86" s="27" t="n"/>
      <c r="E86" s="27" t="n"/>
      <c r="F86" s="28">
        <f>IFERROR((D86-E86)/E86,"")</f>
        <v/>
      </c>
      <c r="G86" s="27" t="n"/>
      <c r="H86" s="7">
        <f>IFERROR(G86*D86,"")</f>
        <v/>
      </c>
      <c r="I86" s="7">
        <f>IFERROR(IF(F86&gt;=参数配置!$C$13,-H86,C86-H86),"")</f>
        <v/>
      </c>
      <c r="J86" s="29">
        <f>IFERROR(IF(F86&gt;=参数配置!$C$13,"全仓清仓",IF(H86&gt;C86,"卖出超额","正常定投")),"")</f>
        <v/>
      </c>
      <c r="K86" s="30">
        <f>IFERROR(I86,"")</f>
        <v/>
      </c>
      <c r="L86" s="17" t="n"/>
      <c r="M86" s="27" t="n"/>
      <c r="N86" s="31">
        <f>IFERROR(G86+M86,"")</f>
        <v/>
      </c>
      <c r="O86" s="7">
        <f>IFERROR(O85+L86,"")</f>
        <v/>
      </c>
      <c r="P86" s="7">
        <f>IFERROR(-L86,"")</f>
        <v/>
      </c>
      <c r="Q86" s="32" t="n"/>
    </row>
    <row r="87">
      <c r="A87" s="33" t="n"/>
      <c r="B87" s="15" t="n"/>
      <c r="C87" s="7">
        <f>IFERROR(参数配置!$C$6*(B87-$S$3),"")</f>
        <v/>
      </c>
      <c r="D87" s="27" t="n"/>
      <c r="E87" s="27" t="n"/>
      <c r="F87" s="28">
        <f>IFERROR((D87-E87)/E87,"")</f>
        <v/>
      </c>
      <c r="G87" s="27" t="n"/>
      <c r="H87" s="7">
        <f>IFERROR(G87*D87,"")</f>
        <v/>
      </c>
      <c r="I87" s="7">
        <f>IFERROR(IF(F87&gt;=参数配置!$C$13,-H87,C87-H87),"")</f>
        <v/>
      </c>
      <c r="J87" s="29">
        <f>IFERROR(IF(F87&gt;=参数配置!$C$13,"全仓清仓",IF(H87&gt;C87,"卖出超额","正常定投")),"")</f>
        <v/>
      </c>
      <c r="K87" s="30">
        <f>IFERROR(I87,"")</f>
        <v/>
      </c>
      <c r="L87" s="17" t="n"/>
      <c r="M87" s="27" t="n"/>
      <c r="N87" s="31">
        <f>IFERROR(G87+M87,"")</f>
        <v/>
      </c>
      <c r="O87" s="7">
        <f>IFERROR(O86+L87,"")</f>
        <v/>
      </c>
      <c r="P87" s="7">
        <f>IFERROR(-L87,"")</f>
        <v/>
      </c>
      <c r="Q87" s="32" t="n"/>
    </row>
    <row r="88">
      <c r="A88" s="33" t="n"/>
      <c r="B88" s="15" t="n"/>
      <c r="C88" s="7">
        <f>IFERROR(参数配置!$C$6*(B88-$S$3),"")</f>
        <v/>
      </c>
      <c r="D88" s="27" t="n"/>
      <c r="E88" s="27" t="n"/>
      <c r="F88" s="28">
        <f>IFERROR((D88-E88)/E88,"")</f>
        <v/>
      </c>
      <c r="G88" s="27" t="n"/>
      <c r="H88" s="7">
        <f>IFERROR(G88*D88,"")</f>
        <v/>
      </c>
      <c r="I88" s="7">
        <f>IFERROR(IF(F88&gt;=参数配置!$C$13,-H88,C88-H88),"")</f>
        <v/>
      </c>
      <c r="J88" s="29">
        <f>IFERROR(IF(F88&gt;=参数配置!$C$13,"全仓清仓",IF(H88&gt;C88,"卖出超额","正常定投")),"")</f>
        <v/>
      </c>
      <c r="K88" s="30">
        <f>IFERROR(I88,"")</f>
        <v/>
      </c>
      <c r="L88" s="17" t="n"/>
      <c r="M88" s="27" t="n"/>
      <c r="N88" s="31">
        <f>IFERROR(G88+M88,"")</f>
        <v/>
      </c>
      <c r="O88" s="7">
        <f>IFERROR(O87+L88,"")</f>
        <v/>
      </c>
      <c r="P88" s="7">
        <f>IFERROR(-L88,"")</f>
        <v/>
      </c>
      <c r="Q88" s="32" t="n"/>
    </row>
    <row r="89">
      <c r="A89" s="33" t="n"/>
      <c r="B89" s="15" t="n"/>
      <c r="C89" s="7">
        <f>IFERROR(参数配置!$C$6*(B89-$S$3),"")</f>
        <v/>
      </c>
      <c r="D89" s="27" t="n"/>
      <c r="E89" s="27" t="n"/>
      <c r="F89" s="28">
        <f>IFERROR((D89-E89)/E89,"")</f>
        <v/>
      </c>
      <c r="G89" s="27" t="n"/>
      <c r="H89" s="7">
        <f>IFERROR(G89*D89,"")</f>
        <v/>
      </c>
      <c r="I89" s="7">
        <f>IFERROR(IF(F89&gt;=参数配置!$C$13,-H89,C89-H89),"")</f>
        <v/>
      </c>
      <c r="J89" s="29">
        <f>IFERROR(IF(F89&gt;=参数配置!$C$13,"全仓清仓",IF(H89&gt;C89,"卖出超额","正常定投")),"")</f>
        <v/>
      </c>
      <c r="K89" s="30">
        <f>IFERROR(I89,"")</f>
        <v/>
      </c>
      <c r="L89" s="17" t="n"/>
      <c r="M89" s="27" t="n"/>
      <c r="N89" s="31">
        <f>IFERROR(G89+M89,"")</f>
        <v/>
      </c>
      <c r="O89" s="7">
        <f>IFERROR(O88+L89,"")</f>
        <v/>
      </c>
      <c r="P89" s="7">
        <f>IFERROR(-L89,"")</f>
        <v/>
      </c>
      <c r="Q89" s="32" t="n"/>
    </row>
    <row r="90">
      <c r="A90" s="33" t="n"/>
      <c r="B90" s="15" t="n"/>
      <c r="C90" s="7">
        <f>IFERROR(参数配置!$C$6*(B90-$S$3),"")</f>
        <v/>
      </c>
      <c r="D90" s="27" t="n"/>
      <c r="E90" s="27" t="n"/>
      <c r="F90" s="28">
        <f>IFERROR((D90-E90)/E90,"")</f>
        <v/>
      </c>
      <c r="G90" s="27" t="n"/>
      <c r="H90" s="7">
        <f>IFERROR(G90*D90,"")</f>
        <v/>
      </c>
      <c r="I90" s="7">
        <f>IFERROR(IF(F90&gt;=参数配置!$C$13,-H90,C90-H90),"")</f>
        <v/>
      </c>
      <c r="J90" s="29">
        <f>IFERROR(IF(F90&gt;=参数配置!$C$13,"全仓清仓",IF(H90&gt;C90,"卖出超额","正常定投")),"")</f>
        <v/>
      </c>
      <c r="K90" s="30">
        <f>IFERROR(I90,"")</f>
        <v/>
      </c>
      <c r="L90" s="17" t="n"/>
      <c r="M90" s="27" t="n"/>
      <c r="N90" s="31">
        <f>IFERROR(G90+M90,"")</f>
        <v/>
      </c>
      <c r="O90" s="7">
        <f>IFERROR(O89+L90,"")</f>
        <v/>
      </c>
      <c r="P90" s="7">
        <f>IFERROR(-L90,"")</f>
        <v/>
      </c>
      <c r="Q90" s="32" t="n"/>
    </row>
    <row r="91">
      <c r="A91" s="33" t="n"/>
      <c r="B91" s="15" t="n"/>
      <c r="C91" s="7">
        <f>IFERROR(参数配置!$C$6*(B91-$S$3),"")</f>
        <v/>
      </c>
      <c r="D91" s="27" t="n"/>
      <c r="E91" s="27" t="n"/>
      <c r="F91" s="28">
        <f>IFERROR((D91-E91)/E91,"")</f>
        <v/>
      </c>
      <c r="G91" s="27" t="n"/>
      <c r="H91" s="7">
        <f>IFERROR(G91*D91,"")</f>
        <v/>
      </c>
      <c r="I91" s="7">
        <f>IFERROR(IF(F91&gt;=参数配置!$C$13,-H91,C91-H91),"")</f>
        <v/>
      </c>
      <c r="J91" s="29">
        <f>IFERROR(IF(F91&gt;=参数配置!$C$13,"全仓清仓",IF(H91&gt;C91,"卖出超额","正常定投")),"")</f>
        <v/>
      </c>
      <c r="K91" s="30">
        <f>IFERROR(I91,"")</f>
        <v/>
      </c>
      <c r="L91" s="17" t="n"/>
      <c r="M91" s="27" t="n"/>
      <c r="N91" s="31">
        <f>IFERROR(G91+M91,"")</f>
        <v/>
      </c>
      <c r="O91" s="7">
        <f>IFERROR(O90+L91,"")</f>
        <v/>
      </c>
      <c r="P91" s="7">
        <f>IFERROR(-L91,"")</f>
        <v/>
      </c>
      <c r="Q91" s="32" t="n"/>
    </row>
    <row r="92">
      <c r="A92" s="33" t="n"/>
      <c r="B92" s="15" t="n"/>
      <c r="C92" s="7">
        <f>IFERROR(参数配置!$C$6*(B92-$S$3),"")</f>
        <v/>
      </c>
      <c r="D92" s="27" t="n"/>
      <c r="E92" s="27" t="n"/>
      <c r="F92" s="28">
        <f>IFERROR((D92-E92)/E92,"")</f>
        <v/>
      </c>
      <c r="G92" s="27" t="n"/>
      <c r="H92" s="7">
        <f>IFERROR(G92*D92,"")</f>
        <v/>
      </c>
      <c r="I92" s="7">
        <f>IFERROR(IF(F92&gt;=参数配置!$C$13,-H92,C92-H92),"")</f>
        <v/>
      </c>
      <c r="J92" s="29">
        <f>IFERROR(IF(F92&gt;=参数配置!$C$13,"全仓清仓",IF(H92&gt;C92,"卖出超额","正常定投")),"")</f>
        <v/>
      </c>
      <c r="K92" s="30">
        <f>IFERROR(I92,"")</f>
        <v/>
      </c>
      <c r="L92" s="17" t="n"/>
      <c r="M92" s="27" t="n"/>
      <c r="N92" s="31">
        <f>IFERROR(G92+M92,"")</f>
        <v/>
      </c>
      <c r="O92" s="7">
        <f>IFERROR(O91+L92,"")</f>
        <v/>
      </c>
      <c r="P92" s="7">
        <f>IFERROR(-L92,"")</f>
        <v/>
      </c>
      <c r="Q92" s="32" t="n"/>
    </row>
    <row r="93">
      <c r="A93" s="33" t="n"/>
      <c r="B93" s="15" t="n"/>
      <c r="C93" s="7">
        <f>IFERROR(参数配置!$C$6*(B93-$S$3),"")</f>
        <v/>
      </c>
      <c r="D93" s="27" t="n"/>
      <c r="E93" s="27" t="n"/>
      <c r="F93" s="28">
        <f>IFERROR((D93-E93)/E93,"")</f>
        <v/>
      </c>
      <c r="G93" s="27" t="n"/>
      <c r="H93" s="7">
        <f>IFERROR(G93*D93,"")</f>
        <v/>
      </c>
      <c r="I93" s="7">
        <f>IFERROR(IF(F93&gt;=参数配置!$C$13,-H93,C93-H93),"")</f>
        <v/>
      </c>
      <c r="J93" s="29">
        <f>IFERROR(IF(F93&gt;=参数配置!$C$13,"全仓清仓",IF(H93&gt;C93,"卖出超额","正常定投")),"")</f>
        <v/>
      </c>
      <c r="K93" s="30">
        <f>IFERROR(I93,"")</f>
        <v/>
      </c>
      <c r="L93" s="17" t="n"/>
      <c r="M93" s="27" t="n"/>
      <c r="N93" s="31">
        <f>IFERROR(G93+M93,"")</f>
        <v/>
      </c>
      <c r="O93" s="7">
        <f>IFERROR(O92+L93,"")</f>
        <v/>
      </c>
      <c r="P93" s="7">
        <f>IFERROR(-L93,"")</f>
        <v/>
      </c>
      <c r="Q93" s="32" t="n"/>
    </row>
    <row r="94">
      <c r="A94" s="33" t="n"/>
      <c r="B94" s="15" t="n"/>
      <c r="C94" s="7">
        <f>IFERROR(参数配置!$C$6*(B94-$S$3),"")</f>
        <v/>
      </c>
      <c r="D94" s="27" t="n"/>
      <c r="E94" s="27" t="n"/>
      <c r="F94" s="28">
        <f>IFERROR((D94-E94)/E94,"")</f>
        <v/>
      </c>
      <c r="G94" s="27" t="n"/>
      <c r="H94" s="7">
        <f>IFERROR(G94*D94,"")</f>
        <v/>
      </c>
      <c r="I94" s="7">
        <f>IFERROR(IF(F94&gt;=参数配置!$C$13,-H94,C94-H94),"")</f>
        <v/>
      </c>
      <c r="J94" s="29">
        <f>IFERROR(IF(F94&gt;=参数配置!$C$13,"全仓清仓",IF(H94&gt;C94,"卖出超额","正常定投")),"")</f>
        <v/>
      </c>
      <c r="K94" s="30">
        <f>IFERROR(I94,"")</f>
        <v/>
      </c>
      <c r="L94" s="17" t="n"/>
      <c r="M94" s="27" t="n"/>
      <c r="N94" s="31">
        <f>IFERROR(G94+M94,"")</f>
        <v/>
      </c>
      <c r="O94" s="7">
        <f>IFERROR(O93+L94,"")</f>
        <v/>
      </c>
      <c r="P94" s="7">
        <f>IFERROR(-L94,"")</f>
        <v/>
      </c>
      <c r="Q94" s="32" t="n"/>
    </row>
    <row r="95">
      <c r="A95" s="33" t="n"/>
      <c r="B95" s="15" t="n"/>
      <c r="C95" s="7">
        <f>IFERROR(参数配置!$C$6*(B95-$S$3),"")</f>
        <v/>
      </c>
      <c r="D95" s="27" t="n"/>
      <c r="E95" s="27" t="n"/>
      <c r="F95" s="28">
        <f>IFERROR((D95-E95)/E95,"")</f>
        <v/>
      </c>
      <c r="G95" s="27" t="n"/>
      <c r="H95" s="7">
        <f>IFERROR(G95*D95,"")</f>
        <v/>
      </c>
      <c r="I95" s="7">
        <f>IFERROR(IF(F95&gt;=参数配置!$C$13,-H95,C95-H95),"")</f>
        <v/>
      </c>
      <c r="J95" s="29">
        <f>IFERROR(IF(F95&gt;=参数配置!$C$13,"全仓清仓",IF(H95&gt;C95,"卖出超额","正常定投")),"")</f>
        <v/>
      </c>
      <c r="K95" s="30">
        <f>IFERROR(I95,"")</f>
        <v/>
      </c>
      <c r="L95" s="17" t="n"/>
      <c r="M95" s="27" t="n"/>
      <c r="N95" s="31">
        <f>IFERROR(G95+M95,"")</f>
        <v/>
      </c>
      <c r="O95" s="7">
        <f>IFERROR(O94+L95,"")</f>
        <v/>
      </c>
      <c r="P95" s="7">
        <f>IFERROR(-L95,"")</f>
        <v/>
      </c>
      <c r="Q95" s="32" t="n"/>
    </row>
    <row r="96">
      <c r="A96" s="33" t="n"/>
      <c r="B96" s="15" t="n"/>
      <c r="C96" s="7">
        <f>IFERROR(参数配置!$C$6*(B96-$S$3),"")</f>
        <v/>
      </c>
      <c r="D96" s="27" t="n"/>
      <c r="E96" s="27" t="n"/>
      <c r="F96" s="28">
        <f>IFERROR((D96-E96)/E96,"")</f>
        <v/>
      </c>
      <c r="G96" s="27" t="n"/>
      <c r="H96" s="7">
        <f>IFERROR(G96*D96,"")</f>
        <v/>
      </c>
      <c r="I96" s="7">
        <f>IFERROR(IF(F96&gt;=参数配置!$C$13,-H96,C96-H96),"")</f>
        <v/>
      </c>
      <c r="J96" s="29">
        <f>IFERROR(IF(F96&gt;=参数配置!$C$13,"全仓清仓",IF(H96&gt;C96,"卖出超额","正常定投")),"")</f>
        <v/>
      </c>
      <c r="K96" s="30">
        <f>IFERROR(I96,"")</f>
        <v/>
      </c>
      <c r="L96" s="17" t="n"/>
      <c r="M96" s="27" t="n"/>
      <c r="N96" s="31">
        <f>IFERROR(G96+M96,"")</f>
        <v/>
      </c>
      <c r="O96" s="7">
        <f>IFERROR(O95+L96,"")</f>
        <v/>
      </c>
      <c r="P96" s="7">
        <f>IFERROR(-L96,"")</f>
        <v/>
      </c>
      <c r="Q96" s="32" t="n"/>
    </row>
    <row r="97">
      <c r="A97" s="33" t="n"/>
      <c r="B97" s="15" t="n"/>
      <c r="C97" s="7">
        <f>IFERROR(参数配置!$C$6*(B97-$S$3),"")</f>
        <v/>
      </c>
      <c r="D97" s="27" t="n"/>
      <c r="E97" s="27" t="n"/>
      <c r="F97" s="28">
        <f>IFERROR((D97-E97)/E97,"")</f>
        <v/>
      </c>
      <c r="G97" s="27" t="n"/>
      <c r="H97" s="7">
        <f>IFERROR(G97*D97,"")</f>
        <v/>
      </c>
      <c r="I97" s="7">
        <f>IFERROR(IF(F97&gt;=参数配置!$C$13,-H97,C97-H97),"")</f>
        <v/>
      </c>
      <c r="J97" s="29">
        <f>IFERROR(IF(F97&gt;=参数配置!$C$13,"全仓清仓",IF(H97&gt;C97,"卖出超额","正常定投")),"")</f>
        <v/>
      </c>
      <c r="K97" s="30">
        <f>IFERROR(I97,"")</f>
        <v/>
      </c>
      <c r="L97" s="17" t="n"/>
      <c r="M97" s="27" t="n"/>
      <c r="N97" s="31">
        <f>IFERROR(G97+M97,"")</f>
        <v/>
      </c>
      <c r="O97" s="7">
        <f>IFERROR(O96+L97,"")</f>
        <v/>
      </c>
      <c r="P97" s="7">
        <f>IFERROR(-L97,"")</f>
        <v/>
      </c>
      <c r="Q97" s="32" t="n"/>
    </row>
    <row r="98">
      <c r="A98" s="33" t="n"/>
      <c r="B98" s="15" t="n"/>
      <c r="C98" s="7">
        <f>IFERROR(参数配置!$C$6*(B98-$S$3),"")</f>
        <v/>
      </c>
      <c r="D98" s="27" t="n"/>
      <c r="E98" s="27" t="n"/>
      <c r="F98" s="28">
        <f>IFERROR((D98-E98)/E98,"")</f>
        <v/>
      </c>
      <c r="G98" s="27" t="n"/>
      <c r="H98" s="7">
        <f>IFERROR(G98*D98,"")</f>
        <v/>
      </c>
      <c r="I98" s="7">
        <f>IFERROR(IF(F98&gt;=参数配置!$C$13,-H98,C98-H98),"")</f>
        <v/>
      </c>
      <c r="J98" s="29">
        <f>IFERROR(IF(F98&gt;=参数配置!$C$13,"全仓清仓",IF(H98&gt;C98,"卖出超额","正常定投")),"")</f>
        <v/>
      </c>
      <c r="K98" s="30">
        <f>IFERROR(I98,"")</f>
        <v/>
      </c>
      <c r="L98" s="17" t="n"/>
      <c r="M98" s="27" t="n"/>
      <c r="N98" s="31">
        <f>IFERROR(G98+M98,"")</f>
        <v/>
      </c>
      <c r="O98" s="7">
        <f>IFERROR(O97+L98,"")</f>
        <v/>
      </c>
      <c r="P98" s="7">
        <f>IFERROR(-L98,"")</f>
        <v/>
      </c>
      <c r="Q98" s="32" t="n"/>
    </row>
    <row r="99">
      <c r="A99" s="33" t="n"/>
      <c r="B99" s="15" t="n"/>
      <c r="C99" s="7">
        <f>IFERROR(参数配置!$C$6*(B99-$S$3),"")</f>
        <v/>
      </c>
      <c r="D99" s="27" t="n"/>
      <c r="E99" s="27" t="n"/>
      <c r="F99" s="28">
        <f>IFERROR((D99-E99)/E99,"")</f>
        <v/>
      </c>
      <c r="G99" s="27" t="n"/>
      <c r="H99" s="7">
        <f>IFERROR(G99*D99,"")</f>
        <v/>
      </c>
      <c r="I99" s="7">
        <f>IFERROR(IF(F99&gt;=参数配置!$C$13,-H99,C99-H99),"")</f>
        <v/>
      </c>
      <c r="J99" s="29">
        <f>IFERROR(IF(F99&gt;=参数配置!$C$13,"全仓清仓",IF(H99&gt;C99,"卖出超额","正常定投")),"")</f>
        <v/>
      </c>
      <c r="K99" s="30">
        <f>IFERROR(I99,"")</f>
        <v/>
      </c>
      <c r="L99" s="17" t="n"/>
      <c r="M99" s="27" t="n"/>
      <c r="N99" s="31">
        <f>IFERROR(G99+M99,"")</f>
        <v/>
      </c>
      <c r="O99" s="7">
        <f>IFERROR(O98+L99,"")</f>
        <v/>
      </c>
      <c r="P99" s="7">
        <f>IFERROR(-L99,"")</f>
        <v/>
      </c>
      <c r="Q99" s="32" t="n"/>
    </row>
    <row r="100">
      <c r="A100" s="33" t="n"/>
      <c r="B100" s="15" t="n"/>
      <c r="C100" s="7">
        <f>IFERROR(参数配置!$C$6*(B100-$S$3),"")</f>
        <v/>
      </c>
      <c r="D100" s="27" t="n"/>
      <c r="E100" s="27" t="n"/>
      <c r="F100" s="28">
        <f>IFERROR((D100-E100)/E100,"")</f>
        <v/>
      </c>
      <c r="G100" s="27" t="n"/>
      <c r="H100" s="7">
        <f>IFERROR(G100*D100,"")</f>
        <v/>
      </c>
      <c r="I100" s="7">
        <f>IFERROR(IF(F100&gt;=参数配置!$C$13,-H100,C100-H100),"")</f>
        <v/>
      </c>
      <c r="J100" s="29">
        <f>IFERROR(IF(F100&gt;=参数配置!$C$13,"全仓清仓",IF(H100&gt;C100,"卖出超额","正常定投")),"")</f>
        <v/>
      </c>
      <c r="K100" s="30">
        <f>IFERROR(I100,"")</f>
        <v/>
      </c>
      <c r="L100" s="17" t="n"/>
      <c r="M100" s="27" t="n"/>
      <c r="N100" s="31">
        <f>IFERROR(G100+M100,"")</f>
        <v/>
      </c>
      <c r="O100" s="7">
        <f>IFERROR(O99+L100,"")</f>
        <v/>
      </c>
      <c r="P100" s="7">
        <f>IFERROR(-L100,"")</f>
        <v/>
      </c>
      <c r="Q100" s="32" t="n"/>
    </row>
    <row r="101">
      <c r="A101" s="33" t="n"/>
      <c r="B101" s="15" t="n"/>
      <c r="C101" s="7">
        <f>IFERROR(参数配置!$C$6*(B101-$S$3),"")</f>
        <v/>
      </c>
      <c r="D101" s="27" t="n"/>
      <c r="E101" s="27" t="n"/>
      <c r="F101" s="28">
        <f>IFERROR((D101-E101)/E101,"")</f>
        <v/>
      </c>
      <c r="G101" s="27" t="n"/>
      <c r="H101" s="7">
        <f>IFERROR(G101*D101,"")</f>
        <v/>
      </c>
      <c r="I101" s="7">
        <f>IFERROR(IF(F101&gt;=参数配置!$C$13,-H101,C101-H101),"")</f>
        <v/>
      </c>
      <c r="J101" s="29">
        <f>IFERROR(IF(F101&gt;=参数配置!$C$13,"全仓清仓",IF(H101&gt;C101,"卖出超额","正常定投")),"")</f>
        <v/>
      </c>
      <c r="K101" s="30">
        <f>IFERROR(I101,"")</f>
        <v/>
      </c>
      <c r="L101" s="17" t="n"/>
      <c r="M101" s="27" t="n"/>
      <c r="N101" s="31">
        <f>IFERROR(G101+M101,"")</f>
        <v/>
      </c>
      <c r="O101" s="7">
        <f>IFERROR(O100+L101,"")</f>
        <v/>
      </c>
      <c r="P101" s="7">
        <f>IFERROR(-L101,"")</f>
        <v/>
      </c>
      <c r="Q101" s="32" t="n"/>
    </row>
    <row r="102">
      <c r="A102" s="33" t="n"/>
      <c r="B102" s="15" t="n"/>
      <c r="C102" s="7">
        <f>IFERROR(参数配置!$C$6*(B102-$S$3),"")</f>
        <v/>
      </c>
      <c r="D102" s="27" t="n"/>
      <c r="E102" s="27" t="n"/>
      <c r="F102" s="28">
        <f>IFERROR((D102-E102)/E102,"")</f>
        <v/>
      </c>
      <c r="G102" s="27" t="n"/>
      <c r="H102" s="7">
        <f>IFERROR(G102*D102,"")</f>
        <v/>
      </c>
      <c r="I102" s="7">
        <f>IFERROR(IF(F102&gt;=参数配置!$C$13,-H102,C102-H102),"")</f>
        <v/>
      </c>
      <c r="J102" s="29">
        <f>IFERROR(IF(F102&gt;=参数配置!$C$13,"全仓清仓",IF(H102&gt;C102,"卖出超额","正常定投")),"")</f>
        <v/>
      </c>
      <c r="K102" s="30">
        <f>IFERROR(I102,"")</f>
        <v/>
      </c>
      <c r="L102" s="17" t="n"/>
      <c r="M102" s="27" t="n"/>
      <c r="N102" s="31">
        <f>IFERROR(G102+M102,"")</f>
        <v/>
      </c>
      <c r="O102" s="7">
        <f>IFERROR(O101+L102,"")</f>
        <v/>
      </c>
      <c r="P102" s="7">
        <f>IFERROR(-L102,"")</f>
        <v/>
      </c>
      <c r="Q102" s="32" t="n"/>
    </row>
    <row r="103">
      <c r="A103" s="33" t="n"/>
      <c r="B103" s="15" t="n"/>
      <c r="C103" s="7">
        <f>IFERROR(参数配置!$C$6*(B103-$S$3),"")</f>
        <v/>
      </c>
      <c r="D103" s="27" t="n"/>
      <c r="E103" s="27" t="n"/>
      <c r="F103" s="28">
        <f>IFERROR((D103-E103)/E103,"")</f>
        <v/>
      </c>
      <c r="G103" s="27" t="n"/>
      <c r="H103" s="7">
        <f>IFERROR(G103*D103,"")</f>
        <v/>
      </c>
      <c r="I103" s="7">
        <f>IFERROR(IF(F103&gt;=参数配置!$C$13,-H103,C103-H103),"")</f>
        <v/>
      </c>
      <c r="J103" s="29">
        <f>IFERROR(IF(F103&gt;=参数配置!$C$13,"全仓清仓",IF(H103&gt;C103,"卖出超额","正常定投")),"")</f>
        <v/>
      </c>
      <c r="K103" s="30">
        <f>IFERROR(I103,"")</f>
        <v/>
      </c>
      <c r="L103" s="17" t="n"/>
      <c r="M103" s="27" t="n"/>
      <c r="N103" s="31">
        <f>IFERROR(G103+M103,"")</f>
        <v/>
      </c>
      <c r="O103" s="7">
        <f>IFERROR(O102+L103,"")</f>
        <v/>
      </c>
      <c r="P103" s="7">
        <f>IFERROR(-L103,"")</f>
        <v/>
      </c>
      <c r="Q103" s="32" t="n"/>
    </row>
    <row r="104">
      <c r="A104" s="33" t="n"/>
      <c r="B104" s="15" t="n"/>
      <c r="C104" s="7">
        <f>IFERROR(参数配置!$C$6*(B104-$S$3),"")</f>
        <v/>
      </c>
      <c r="D104" s="27" t="n"/>
      <c r="E104" s="27" t="n"/>
      <c r="F104" s="28">
        <f>IFERROR((D104-E104)/E104,"")</f>
        <v/>
      </c>
      <c r="G104" s="27" t="n"/>
      <c r="H104" s="7">
        <f>IFERROR(G104*D104,"")</f>
        <v/>
      </c>
      <c r="I104" s="7">
        <f>IFERROR(IF(F104&gt;=参数配置!$C$13,-H104,C104-H104),"")</f>
        <v/>
      </c>
      <c r="J104" s="29">
        <f>IFERROR(IF(F104&gt;=参数配置!$C$13,"全仓清仓",IF(H104&gt;C104,"卖出超额","正常定投")),"")</f>
        <v/>
      </c>
      <c r="K104" s="30">
        <f>IFERROR(I104,"")</f>
        <v/>
      </c>
      <c r="L104" s="17" t="n"/>
      <c r="M104" s="27" t="n"/>
      <c r="N104" s="31">
        <f>IFERROR(G104+M104,"")</f>
        <v/>
      </c>
      <c r="O104" s="7">
        <f>IFERROR(O103+L104,"")</f>
        <v/>
      </c>
      <c r="P104" s="7">
        <f>IFERROR(-L104,"")</f>
        <v/>
      </c>
      <c r="Q104" s="32" t="n"/>
    </row>
  </sheetData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4" customWidth="1" min="15" max="15"/>
    <col width="12" customWidth="1" min="16" max="16"/>
    <col width="30" customWidth="1" min="17" max="17"/>
  </cols>
  <sheetData>
    <row r="1">
      <c r="A1" s="14" t="inlineStr">
        <is>
          <t>恒生指数 ETF — 定投追踪记录</t>
        </is>
      </c>
    </row>
    <row r="2">
      <c r="A2" s="2" t="inlineStr">
        <is>
          <t>黄色=手动填写  绿色=自动计算  蓝色=建议参考（可覆盖）</t>
        </is>
      </c>
    </row>
    <row r="3">
      <c r="A3" s="22" t="inlineStr">
        <is>
          <t>手动填写</t>
        </is>
      </c>
      <c r="B3" s="23" t="inlineStr">
        <is>
          <t>自动计算</t>
        </is>
      </c>
      <c r="C3" s="24" t="inlineStr">
        <is>
          <t>建议参考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25" t="inlineStr">
        <is>
          <t>期数偏移:</t>
        </is>
      </c>
      <c r="S3" s="26" t="n">
        <v>0</v>
      </c>
    </row>
    <row r="4" ht="32" customHeight="1">
      <c r="A4" s="4" t="inlineStr">
        <is>
          <t>日期</t>
        </is>
      </c>
      <c r="B4" s="4" t="inlineStr">
        <is>
          <t>期数</t>
        </is>
      </c>
      <c r="C4" s="4" t="inlineStr">
        <is>
          <t>目标市值</t>
        </is>
      </c>
      <c r="D4" s="4" t="inlineStr">
        <is>
          <t>当前价格</t>
        </is>
      </c>
      <c r="E4" s="4" t="inlineStr">
        <is>
          <t>250日均线</t>
        </is>
      </c>
      <c r="F4" s="4" t="inlineStr">
        <is>
          <t>均线偏离度</t>
        </is>
      </c>
      <c r="G4" s="4" t="inlineStr">
        <is>
          <t>持仓份额</t>
        </is>
      </c>
      <c r="H4" s="4" t="inlineStr">
        <is>
          <t>持仓市值</t>
        </is>
      </c>
      <c r="I4" s="4" t="inlineStr">
        <is>
          <t>建议操作金额</t>
        </is>
      </c>
      <c r="J4" s="4" t="inlineStr">
        <is>
          <t>建议操作</t>
        </is>
      </c>
      <c r="K4" s="4" t="inlineStr">
        <is>
          <t>建议金额</t>
        </is>
      </c>
      <c r="L4" s="4" t="inlineStr">
        <is>
          <t>实际操作(元)</t>
        </is>
      </c>
      <c r="M4" s="4" t="inlineStr">
        <is>
          <t>买卖份额</t>
        </is>
      </c>
      <c r="N4" s="4" t="inlineStr">
        <is>
          <t>操作后份额</t>
        </is>
      </c>
      <c r="O4" s="4" t="inlineStr">
        <is>
          <t>累计净投入</t>
        </is>
      </c>
      <c r="P4" s="4" t="inlineStr">
        <is>
          <t>储备金±</t>
        </is>
      </c>
      <c r="Q4" s="4" t="inlineStr">
        <is>
          <t>备注</t>
        </is>
      </c>
    </row>
    <row r="5">
      <c r="A5" s="33" t="inlineStr">
        <is>
          <t>2026-04-24</t>
        </is>
      </c>
      <c r="B5" s="15" t="n">
        <v>1</v>
      </c>
      <c r="C5" s="7">
        <f>IFERROR(参数配置!$C$7*(B5-$S$3),"")</f>
        <v/>
      </c>
      <c r="D5" s="27" t="n">
        <v>1.526</v>
      </c>
      <c r="E5" s="27" t="n">
        <v>1.5383</v>
      </c>
      <c r="F5" s="28">
        <f>IFERROR((D5-E5)/E5,"")</f>
        <v/>
      </c>
      <c r="G5" s="27" t="n">
        <v>0</v>
      </c>
      <c r="H5" s="7">
        <f>IFERROR(G5*D5,"")</f>
        <v/>
      </c>
      <c r="I5" s="7">
        <f>IFERROR(IF(F5&gt;=参数配置!$C$14,-H5,C5-H5),"")</f>
        <v/>
      </c>
      <c r="J5" s="29">
        <f>IFERROR(IF(F5&gt;=参数配置!$C$14,"全仓清仓",IF(H5&gt;C5,"卖出超额","正常定投")),"")</f>
        <v/>
      </c>
      <c r="K5" s="30">
        <f>IFERROR(I5,"")</f>
        <v/>
      </c>
      <c r="L5" s="17" t="n">
        <v>457.8</v>
      </c>
      <c r="M5" s="27" t="n">
        <v>300</v>
      </c>
      <c r="N5" s="31">
        <f>IFERROR(G5+M5,"")</f>
        <v/>
      </c>
      <c r="O5" s="7">
        <f>IFERROR(L5,"")</f>
        <v/>
      </c>
      <c r="P5" s="7">
        <f>IFERROR(-L5,"")</f>
        <v/>
      </c>
      <c r="Q5" s="32" t="n"/>
    </row>
    <row r="6">
      <c r="A6" s="33" t="inlineStr">
        <is>
          <t>2026-05-08</t>
        </is>
      </c>
      <c r="B6" s="15" t="n">
        <v>2</v>
      </c>
      <c r="C6" s="7">
        <f>IFERROR(参数配置!$C$7*(B6-$S$3),"")</f>
        <v/>
      </c>
      <c r="D6" s="27" t="n">
        <v>1.548</v>
      </c>
      <c r="E6" s="27" t="n">
        <v>1.5441</v>
      </c>
      <c r="F6" s="28">
        <f>IFERROR((D6-E6)/E6,"")</f>
        <v/>
      </c>
      <c r="G6" s="27" t="n">
        <v>300</v>
      </c>
      <c r="H6" s="7">
        <f>IFERROR(G6*D6,"")</f>
        <v/>
      </c>
      <c r="I6" s="7">
        <f>IFERROR(IF(F6&gt;=参数配置!$C$14,-H6,C6-H6),"")</f>
        <v/>
      </c>
      <c r="J6" s="29">
        <f>IFERROR(IF(F6&gt;=参数配置!$C$14,"全仓清仓",IF(H6&gt;C6,"卖出超额","正常定投")),"")</f>
        <v/>
      </c>
      <c r="K6" s="30">
        <f>IFERROR(I6,"")</f>
        <v/>
      </c>
      <c r="L6" s="17" t="n">
        <v>619.2</v>
      </c>
      <c r="M6" s="27" t="n">
        <v>400</v>
      </c>
      <c r="N6" s="31">
        <f>IFERROR(G6+M6,"")</f>
        <v/>
      </c>
      <c r="O6" s="7">
        <f>IFERROR(O5+L6,"")</f>
        <v/>
      </c>
      <c r="P6" s="7">
        <f>IFERROR(-L6,"")</f>
        <v/>
      </c>
      <c r="Q6" s="32" t="n"/>
    </row>
    <row r="7">
      <c r="A7" s="33" t="inlineStr">
        <is>
          <t>2026-05-22</t>
        </is>
      </c>
      <c r="B7" s="15" t="n">
        <v>3</v>
      </c>
      <c r="C7" s="7">
        <f>IFERROR(参数配置!$C$7*(B7-$S$3),"")</f>
        <v/>
      </c>
      <c r="D7" s="27" t="n">
        <v>1.504</v>
      </c>
      <c r="E7" s="27" t="n">
        <v>1.5507</v>
      </c>
      <c r="F7" s="28">
        <f>IFERROR((D7-E7)/E7,"")</f>
        <v/>
      </c>
      <c r="G7" s="27" t="n">
        <v>700</v>
      </c>
      <c r="H7" s="7">
        <f>IFERROR(G7*D7,"")</f>
        <v/>
      </c>
      <c r="I7" s="7">
        <f>IFERROR(IF(F7&gt;=参数配置!$C$14,-H7,C7-H7),"")</f>
        <v/>
      </c>
      <c r="J7" s="29">
        <f>IFERROR(IF(F7&gt;=参数配置!$C$14,"全仓清仓",IF(H7&gt;C7,"卖出超额","正常定投")),"")</f>
        <v/>
      </c>
      <c r="K7" s="30">
        <f>IFERROR(I7,"")</f>
        <v/>
      </c>
      <c r="L7" s="17" t="n">
        <v>752</v>
      </c>
      <c r="M7" s="27" t="n">
        <v>500</v>
      </c>
      <c r="N7" s="31">
        <f>IFERROR(G7+M7,"")</f>
        <v/>
      </c>
      <c r="O7" s="7">
        <f>IFERROR(O6+L7,"")</f>
        <v/>
      </c>
      <c r="P7" s="7">
        <f>IFERROR(-L7,"")</f>
        <v/>
      </c>
      <c r="Q7" s="32" t="n"/>
    </row>
    <row r="8">
      <c r="A8" s="33" t="n"/>
      <c r="B8" s="15" t="n"/>
      <c r="C8" s="7">
        <f>IFERROR(参数配置!$C$7*(B8-$S$3),"")</f>
        <v/>
      </c>
      <c r="D8" s="27" t="n"/>
      <c r="E8" s="27" t="n"/>
      <c r="F8" s="28">
        <f>IFERROR((D8-E8)/E8,"")</f>
        <v/>
      </c>
      <c r="G8" s="27" t="n"/>
      <c r="H8" s="7">
        <f>IFERROR(G8*D8,"")</f>
        <v/>
      </c>
      <c r="I8" s="7">
        <f>IFERROR(IF(F8&gt;=参数配置!$C$14,-H8,C8-H8),"")</f>
        <v/>
      </c>
      <c r="J8" s="29">
        <f>IFERROR(IF(F8&gt;=参数配置!$C$14,"全仓清仓",IF(H8&gt;C8,"卖出超额","正常定投")),"")</f>
        <v/>
      </c>
      <c r="K8" s="30">
        <f>IFERROR(I8,"")</f>
        <v/>
      </c>
      <c r="L8" s="17" t="n"/>
      <c r="M8" s="27" t="n"/>
      <c r="N8" s="31">
        <f>IFERROR(G8+M8,"")</f>
        <v/>
      </c>
      <c r="O8" s="7">
        <f>IFERROR(O7+L8,"")</f>
        <v/>
      </c>
      <c r="P8" s="7">
        <f>IFERROR(-L8,"")</f>
        <v/>
      </c>
      <c r="Q8" s="32" t="n"/>
    </row>
    <row r="9">
      <c r="A9" s="33" t="n"/>
      <c r="B9" s="15" t="n"/>
      <c r="C9" s="7">
        <f>IFERROR(参数配置!$C$7*(B9-$S$3),"")</f>
        <v/>
      </c>
      <c r="D9" s="27" t="n"/>
      <c r="E9" s="27" t="n"/>
      <c r="F9" s="28">
        <f>IFERROR((D9-E9)/E9,"")</f>
        <v/>
      </c>
      <c r="G9" s="27" t="n"/>
      <c r="H9" s="7">
        <f>IFERROR(G9*D9,"")</f>
        <v/>
      </c>
      <c r="I9" s="7">
        <f>IFERROR(IF(F9&gt;=参数配置!$C$14,-H9,C9-H9),"")</f>
        <v/>
      </c>
      <c r="J9" s="29">
        <f>IFERROR(IF(F9&gt;=参数配置!$C$14,"全仓清仓",IF(H9&gt;C9,"卖出超额","正常定投")),"")</f>
        <v/>
      </c>
      <c r="K9" s="30">
        <f>IFERROR(I9,"")</f>
        <v/>
      </c>
      <c r="L9" s="17" t="n"/>
      <c r="M9" s="27" t="n"/>
      <c r="N9" s="31">
        <f>IFERROR(G9+M9,"")</f>
        <v/>
      </c>
      <c r="O9" s="7">
        <f>IFERROR(O8+L9,"")</f>
        <v/>
      </c>
      <c r="P9" s="7">
        <f>IFERROR(-L9,"")</f>
        <v/>
      </c>
      <c r="Q9" s="32" t="n"/>
    </row>
    <row r="10">
      <c r="A10" s="33" t="n"/>
      <c r="B10" s="15" t="n"/>
      <c r="C10" s="7">
        <f>IFERROR(参数配置!$C$7*(B10-$S$3),"")</f>
        <v/>
      </c>
      <c r="D10" s="27" t="n"/>
      <c r="E10" s="27" t="n"/>
      <c r="F10" s="28">
        <f>IFERROR((D10-E10)/E10,"")</f>
        <v/>
      </c>
      <c r="G10" s="27" t="n"/>
      <c r="H10" s="7">
        <f>IFERROR(G10*D10,"")</f>
        <v/>
      </c>
      <c r="I10" s="7">
        <f>IFERROR(IF(F10&gt;=参数配置!$C$14,-H10,C10-H10),"")</f>
        <v/>
      </c>
      <c r="J10" s="29">
        <f>IFERROR(IF(F10&gt;=参数配置!$C$14,"全仓清仓",IF(H10&gt;C10,"卖出超额","正常定投")),"")</f>
        <v/>
      </c>
      <c r="K10" s="30">
        <f>IFERROR(I10,"")</f>
        <v/>
      </c>
      <c r="L10" s="17" t="n"/>
      <c r="M10" s="27" t="n"/>
      <c r="N10" s="31">
        <f>IFERROR(G10+M10,"")</f>
        <v/>
      </c>
      <c r="O10" s="7">
        <f>IFERROR(O9+L10,"")</f>
        <v/>
      </c>
      <c r="P10" s="7">
        <f>IFERROR(-L10,"")</f>
        <v/>
      </c>
      <c r="Q10" s="32" t="n"/>
    </row>
    <row r="11">
      <c r="A11" s="33" t="n"/>
      <c r="B11" s="15" t="n"/>
      <c r="C11" s="7">
        <f>IFERROR(参数配置!$C$7*(B11-$S$3),"")</f>
        <v/>
      </c>
      <c r="D11" s="27" t="n"/>
      <c r="E11" s="27" t="n"/>
      <c r="F11" s="28">
        <f>IFERROR((D11-E11)/E11,"")</f>
        <v/>
      </c>
      <c r="G11" s="27" t="n"/>
      <c r="H11" s="7">
        <f>IFERROR(G11*D11,"")</f>
        <v/>
      </c>
      <c r="I11" s="7">
        <f>IFERROR(IF(F11&gt;=参数配置!$C$14,-H11,C11-H11),"")</f>
        <v/>
      </c>
      <c r="J11" s="29">
        <f>IFERROR(IF(F11&gt;=参数配置!$C$14,"全仓清仓",IF(H11&gt;C11,"卖出超额","正常定投")),"")</f>
        <v/>
      </c>
      <c r="K11" s="30">
        <f>IFERROR(I11,"")</f>
        <v/>
      </c>
      <c r="L11" s="17" t="n"/>
      <c r="M11" s="27" t="n"/>
      <c r="N11" s="31">
        <f>IFERROR(G11+M11,"")</f>
        <v/>
      </c>
      <c r="O11" s="7">
        <f>IFERROR(O10+L11,"")</f>
        <v/>
      </c>
      <c r="P11" s="7">
        <f>IFERROR(-L11,"")</f>
        <v/>
      </c>
      <c r="Q11" s="32" t="n"/>
    </row>
    <row r="12">
      <c r="A12" s="33" t="n"/>
      <c r="B12" s="15" t="n"/>
      <c r="C12" s="7">
        <f>IFERROR(参数配置!$C$7*(B12-$S$3),"")</f>
        <v/>
      </c>
      <c r="D12" s="27" t="n"/>
      <c r="E12" s="27" t="n"/>
      <c r="F12" s="28">
        <f>IFERROR((D12-E12)/E12,"")</f>
        <v/>
      </c>
      <c r="G12" s="27" t="n"/>
      <c r="H12" s="7">
        <f>IFERROR(G12*D12,"")</f>
        <v/>
      </c>
      <c r="I12" s="7">
        <f>IFERROR(IF(F12&gt;=参数配置!$C$14,-H12,C12-H12),"")</f>
        <v/>
      </c>
      <c r="J12" s="29">
        <f>IFERROR(IF(F12&gt;=参数配置!$C$14,"全仓清仓",IF(H12&gt;C12,"卖出超额","正常定投")),"")</f>
        <v/>
      </c>
      <c r="K12" s="30">
        <f>IFERROR(I12,"")</f>
        <v/>
      </c>
      <c r="L12" s="17" t="n"/>
      <c r="M12" s="27" t="n"/>
      <c r="N12" s="31">
        <f>IFERROR(G12+M12,"")</f>
        <v/>
      </c>
      <c r="O12" s="7">
        <f>IFERROR(O11+L12,"")</f>
        <v/>
      </c>
      <c r="P12" s="7">
        <f>IFERROR(-L12,"")</f>
        <v/>
      </c>
      <c r="Q12" s="32" t="n"/>
    </row>
    <row r="13">
      <c r="A13" s="33" t="n"/>
      <c r="B13" s="15" t="n"/>
      <c r="C13" s="7">
        <f>IFERROR(参数配置!$C$7*(B13-$S$3),"")</f>
        <v/>
      </c>
      <c r="D13" s="27" t="n"/>
      <c r="E13" s="27" t="n"/>
      <c r="F13" s="28">
        <f>IFERROR((D13-E13)/E13,"")</f>
        <v/>
      </c>
      <c r="G13" s="27" t="n"/>
      <c r="H13" s="7">
        <f>IFERROR(G13*D13,"")</f>
        <v/>
      </c>
      <c r="I13" s="7">
        <f>IFERROR(IF(F13&gt;=参数配置!$C$14,-H13,C13-H13),"")</f>
        <v/>
      </c>
      <c r="J13" s="29">
        <f>IFERROR(IF(F13&gt;=参数配置!$C$14,"全仓清仓",IF(H13&gt;C13,"卖出超额","正常定投")),"")</f>
        <v/>
      </c>
      <c r="K13" s="30">
        <f>IFERROR(I13,"")</f>
        <v/>
      </c>
      <c r="L13" s="17" t="n"/>
      <c r="M13" s="27" t="n"/>
      <c r="N13" s="31">
        <f>IFERROR(G13+M13,"")</f>
        <v/>
      </c>
      <c r="O13" s="7">
        <f>IFERROR(O12+L13,"")</f>
        <v/>
      </c>
      <c r="P13" s="7">
        <f>IFERROR(-L13,"")</f>
        <v/>
      </c>
      <c r="Q13" s="32" t="n"/>
    </row>
    <row r="14">
      <c r="A14" s="33" t="n"/>
      <c r="B14" s="15" t="n"/>
      <c r="C14" s="7">
        <f>IFERROR(参数配置!$C$7*(B14-$S$3),"")</f>
        <v/>
      </c>
      <c r="D14" s="27" t="n"/>
      <c r="E14" s="27" t="n"/>
      <c r="F14" s="28">
        <f>IFERROR((D14-E14)/E14,"")</f>
        <v/>
      </c>
      <c r="G14" s="27" t="n"/>
      <c r="H14" s="7">
        <f>IFERROR(G14*D14,"")</f>
        <v/>
      </c>
      <c r="I14" s="7">
        <f>IFERROR(IF(F14&gt;=参数配置!$C$14,-H14,C14-H14),"")</f>
        <v/>
      </c>
      <c r="J14" s="29">
        <f>IFERROR(IF(F14&gt;=参数配置!$C$14,"全仓清仓",IF(H14&gt;C14,"卖出超额","正常定投")),"")</f>
        <v/>
      </c>
      <c r="K14" s="30">
        <f>IFERROR(I14,"")</f>
        <v/>
      </c>
      <c r="L14" s="17" t="n"/>
      <c r="M14" s="27" t="n"/>
      <c r="N14" s="31">
        <f>IFERROR(G14+M14,"")</f>
        <v/>
      </c>
      <c r="O14" s="7">
        <f>IFERROR(O13+L14,"")</f>
        <v/>
      </c>
      <c r="P14" s="7">
        <f>IFERROR(-L14,"")</f>
        <v/>
      </c>
      <c r="Q14" s="32" t="n"/>
    </row>
    <row r="15">
      <c r="A15" s="33" t="n"/>
      <c r="B15" s="15" t="n"/>
      <c r="C15" s="7">
        <f>IFERROR(参数配置!$C$7*(B15-$S$3),"")</f>
        <v/>
      </c>
      <c r="D15" s="27" t="n"/>
      <c r="E15" s="27" t="n"/>
      <c r="F15" s="28">
        <f>IFERROR((D15-E15)/E15,"")</f>
        <v/>
      </c>
      <c r="G15" s="27" t="n"/>
      <c r="H15" s="7">
        <f>IFERROR(G15*D15,"")</f>
        <v/>
      </c>
      <c r="I15" s="7">
        <f>IFERROR(IF(F15&gt;=参数配置!$C$14,-H15,C15-H15),"")</f>
        <v/>
      </c>
      <c r="J15" s="29">
        <f>IFERROR(IF(F15&gt;=参数配置!$C$14,"全仓清仓",IF(H15&gt;C15,"卖出超额","正常定投")),"")</f>
        <v/>
      </c>
      <c r="K15" s="30">
        <f>IFERROR(I15,"")</f>
        <v/>
      </c>
      <c r="L15" s="17" t="n"/>
      <c r="M15" s="27" t="n"/>
      <c r="N15" s="31">
        <f>IFERROR(G15+M15,"")</f>
        <v/>
      </c>
      <c r="O15" s="7">
        <f>IFERROR(O14+L15,"")</f>
        <v/>
      </c>
      <c r="P15" s="7">
        <f>IFERROR(-L15,"")</f>
        <v/>
      </c>
      <c r="Q15" s="32" t="n"/>
    </row>
    <row r="16">
      <c r="A16" s="33" t="n"/>
      <c r="B16" s="15" t="n"/>
      <c r="C16" s="7">
        <f>IFERROR(参数配置!$C$7*(B16-$S$3),"")</f>
        <v/>
      </c>
      <c r="D16" s="27" t="n"/>
      <c r="E16" s="27" t="n"/>
      <c r="F16" s="28">
        <f>IFERROR((D16-E16)/E16,"")</f>
        <v/>
      </c>
      <c r="G16" s="27" t="n"/>
      <c r="H16" s="7">
        <f>IFERROR(G16*D16,"")</f>
        <v/>
      </c>
      <c r="I16" s="7">
        <f>IFERROR(IF(F16&gt;=参数配置!$C$14,-H16,C16-H16),"")</f>
        <v/>
      </c>
      <c r="J16" s="29">
        <f>IFERROR(IF(F16&gt;=参数配置!$C$14,"全仓清仓",IF(H16&gt;C16,"卖出超额","正常定投")),"")</f>
        <v/>
      </c>
      <c r="K16" s="30">
        <f>IFERROR(I16,"")</f>
        <v/>
      </c>
      <c r="L16" s="17" t="n"/>
      <c r="M16" s="27" t="n"/>
      <c r="N16" s="31">
        <f>IFERROR(G16+M16,"")</f>
        <v/>
      </c>
      <c r="O16" s="7">
        <f>IFERROR(O15+L16,"")</f>
        <v/>
      </c>
      <c r="P16" s="7">
        <f>IFERROR(-L16,"")</f>
        <v/>
      </c>
      <c r="Q16" s="32" t="n"/>
    </row>
    <row r="17">
      <c r="A17" s="33" t="n"/>
      <c r="B17" s="15" t="n"/>
      <c r="C17" s="7">
        <f>IFERROR(参数配置!$C$7*(B17-$S$3),"")</f>
        <v/>
      </c>
      <c r="D17" s="27" t="n"/>
      <c r="E17" s="27" t="n"/>
      <c r="F17" s="28">
        <f>IFERROR((D17-E17)/E17,"")</f>
        <v/>
      </c>
      <c r="G17" s="27" t="n"/>
      <c r="H17" s="7">
        <f>IFERROR(G17*D17,"")</f>
        <v/>
      </c>
      <c r="I17" s="7">
        <f>IFERROR(IF(F17&gt;=参数配置!$C$14,-H17,C17-H17),"")</f>
        <v/>
      </c>
      <c r="J17" s="29">
        <f>IFERROR(IF(F17&gt;=参数配置!$C$14,"全仓清仓",IF(H17&gt;C17,"卖出超额","正常定投")),"")</f>
        <v/>
      </c>
      <c r="K17" s="30">
        <f>IFERROR(I17,"")</f>
        <v/>
      </c>
      <c r="L17" s="17" t="n"/>
      <c r="M17" s="27" t="n"/>
      <c r="N17" s="31">
        <f>IFERROR(G17+M17,"")</f>
        <v/>
      </c>
      <c r="O17" s="7">
        <f>IFERROR(O16+L17,"")</f>
        <v/>
      </c>
      <c r="P17" s="7">
        <f>IFERROR(-L17,"")</f>
        <v/>
      </c>
      <c r="Q17" s="32" t="n"/>
    </row>
    <row r="18">
      <c r="A18" s="33" t="n"/>
      <c r="B18" s="15" t="n"/>
      <c r="C18" s="7">
        <f>IFERROR(参数配置!$C$7*(B18-$S$3),"")</f>
        <v/>
      </c>
      <c r="D18" s="27" t="n"/>
      <c r="E18" s="27" t="n"/>
      <c r="F18" s="28">
        <f>IFERROR((D18-E18)/E18,"")</f>
        <v/>
      </c>
      <c r="G18" s="27" t="n"/>
      <c r="H18" s="7">
        <f>IFERROR(G18*D18,"")</f>
        <v/>
      </c>
      <c r="I18" s="7">
        <f>IFERROR(IF(F18&gt;=参数配置!$C$14,-H18,C18-H18),"")</f>
        <v/>
      </c>
      <c r="J18" s="29">
        <f>IFERROR(IF(F18&gt;=参数配置!$C$14,"全仓清仓",IF(H18&gt;C18,"卖出超额","正常定投")),"")</f>
        <v/>
      </c>
      <c r="K18" s="30">
        <f>IFERROR(I18,"")</f>
        <v/>
      </c>
      <c r="L18" s="17" t="n"/>
      <c r="M18" s="27" t="n"/>
      <c r="N18" s="31">
        <f>IFERROR(G18+M18,"")</f>
        <v/>
      </c>
      <c r="O18" s="7">
        <f>IFERROR(O17+L18,"")</f>
        <v/>
      </c>
      <c r="P18" s="7">
        <f>IFERROR(-L18,"")</f>
        <v/>
      </c>
      <c r="Q18" s="32" t="n"/>
    </row>
    <row r="19">
      <c r="A19" s="33" t="n"/>
      <c r="B19" s="15" t="n"/>
      <c r="C19" s="7">
        <f>IFERROR(参数配置!$C$7*(B19-$S$3),"")</f>
        <v/>
      </c>
      <c r="D19" s="27" t="n"/>
      <c r="E19" s="27" t="n"/>
      <c r="F19" s="28">
        <f>IFERROR((D19-E19)/E19,"")</f>
        <v/>
      </c>
      <c r="G19" s="27" t="n"/>
      <c r="H19" s="7">
        <f>IFERROR(G19*D19,"")</f>
        <v/>
      </c>
      <c r="I19" s="7">
        <f>IFERROR(IF(F19&gt;=参数配置!$C$14,-H19,C19-H19),"")</f>
        <v/>
      </c>
      <c r="J19" s="29">
        <f>IFERROR(IF(F19&gt;=参数配置!$C$14,"全仓清仓",IF(H19&gt;C19,"卖出超额","正常定投")),"")</f>
        <v/>
      </c>
      <c r="K19" s="30">
        <f>IFERROR(I19,"")</f>
        <v/>
      </c>
      <c r="L19" s="17" t="n"/>
      <c r="M19" s="27" t="n"/>
      <c r="N19" s="31">
        <f>IFERROR(G19+M19,"")</f>
        <v/>
      </c>
      <c r="O19" s="7">
        <f>IFERROR(O18+L19,"")</f>
        <v/>
      </c>
      <c r="P19" s="7">
        <f>IFERROR(-L19,"")</f>
        <v/>
      </c>
      <c r="Q19" s="32" t="n"/>
    </row>
    <row r="20">
      <c r="A20" s="33" t="n"/>
      <c r="B20" s="15" t="n"/>
      <c r="C20" s="7">
        <f>IFERROR(参数配置!$C$7*(B20-$S$3),"")</f>
        <v/>
      </c>
      <c r="D20" s="27" t="n"/>
      <c r="E20" s="27" t="n"/>
      <c r="F20" s="28">
        <f>IFERROR((D20-E20)/E20,"")</f>
        <v/>
      </c>
      <c r="G20" s="27" t="n"/>
      <c r="H20" s="7">
        <f>IFERROR(G20*D20,"")</f>
        <v/>
      </c>
      <c r="I20" s="7">
        <f>IFERROR(IF(F20&gt;=参数配置!$C$14,-H20,C20-H20),"")</f>
        <v/>
      </c>
      <c r="J20" s="29">
        <f>IFERROR(IF(F20&gt;=参数配置!$C$14,"全仓清仓",IF(H20&gt;C20,"卖出超额","正常定投")),"")</f>
        <v/>
      </c>
      <c r="K20" s="30">
        <f>IFERROR(I20,"")</f>
        <v/>
      </c>
      <c r="L20" s="17" t="n"/>
      <c r="M20" s="27" t="n"/>
      <c r="N20" s="31">
        <f>IFERROR(G20+M20,"")</f>
        <v/>
      </c>
      <c r="O20" s="7">
        <f>IFERROR(O19+L20,"")</f>
        <v/>
      </c>
      <c r="P20" s="7">
        <f>IFERROR(-L20,"")</f>
        <v/>
      </c>
      <c r="Q20" s="32" t="n"/>
    </row>
    <row r="21">
      <c r="A21" s="33" t="n"/>
      <c r="B21" s="15" t="n"/>
      <c r="C21" s="7">
        <f>IFERROR(参数配置!$C$7*(B21-$S$3),"")</f>
        <v/>
      </c>
      <c r="D21" s="27" t="n"/>
      <c r="E21" s="27" t="n"/>
      <c r="F21" s="28">
        <f>IFERROR((D21-E21)/E21,"")</f>
        <v/>
      </c>
      <c r="G21" s="27" t="n"/>
      <c r="H21" s="7">
        <f>IFERROR(G21*D21,"")</f>
        <v/>
      </c>
      <c r="I21" s="7">
        <f>IFERROR(IF(F21&gt;=参数配置!$C$14,-H21,C21-H21),"")</f>
        <v/>
      </c>
      <c r="J21" s="29">
        <f>IFERROR(IF(F21&gt;=参数配置!$C$14,"全仓清仓",IF(H21&gt;C21,"卖出超额","正常定投")),"")</f>
        <v/>
      </c>
      <c r="K21" s="30">
        <f>IFERROR(I21,"")</f>
        <v/>
      </c>
      <c r="L21" s="17" t="n"/>
      <c r="M21" s="27" t="n"/>
      <c r="N21" s="31">
        <f>IFERROR(G21+M21,"")</f>
        <v/>
      </c>
      <c r="O21" s="7">
        <f>IFERROR(O20+L21,"")</f>
        <v/>
      </c>
      <c r="P21" s="7">
        <f>IFERROR(-L21,"")</f>
        <v/>
      </c>
      <c r="Q21" s="32" t="n"/>
    </row>
    <row r="22">
      <c r="A22" s="33" t="n"/>
      <c r="B22" s="15" t="n"/>
      <c r="C22" s="7">
        <f>IFERROR(参数配置!$C$7*(B22-$S$3),"")</f>
        <v/>
      </c>
      <c r="D22" s="27" t="n"/>
      <c r="E22" s="27" t="n"/>
      <c r="F22" s="28">
        <f>IFERROR((D22-E22)/E22,"")</f>
        <v/>
      </c>
      <c r="G22" s="27" t="n"/>
      <c r="H22" s="7">
        <f>IFERROR(G22*D22,"")</f>
        <v/>
      </c>
      <c r="I22" s="7">
        <f>IFERROR(IF(F22&gt;=参数配置!$C$14,-H22,C22-H22),"")</f>
        <v/>
      </c>
      <c r="J22" s="29">
        <f>IFERROR(IF(F22&gt;=参数配置!$C$14,"全仓清仓",IF(H22&gt;C22,"卖出超额","正常定投")),"")</f>
        <v/>
      </c>
      <c r="K22" s="30">
        <f>IFERROR(I22,"")</f>
        <v/>
      </c>
      <c r="L22" s="17" t="n"/>
      <c r="M22" s="27" t="n"/>
      <c r="N22" s="31">
        <f>IFERROR(G22+M22,"")</f>
        <v/>
      </c>
      <c r="O22" s="7">
        <f>IFERROR(O21+L22,"")</f>
        <v/>
      </c>
      <c r="P22" s="7">
        <f>IFERROR(-L22,"")</f>
        <v/>
      </c>
      <c r="Q22" s="32" t="n"/>
    </row>
    <row r="23">
      <c r="A23" s="33" t="n"/>
      <c r="B23" s="15" t="n"/>
      <c r="C23" s="7">
        <f>IFERROR(参数配置!$C$7*(B23-$S$3),"")</f>
        <v/>
      </c>
      <c r="D23" s="27" t="n"/>
      <c r="E23" s="27" t="n"/>
      <c r="F23" s="28">
        <f>IFERROR((D23-E23)/E23,"")</f>
        <v/>
      </c>
      <c r="G23" s="27" t="n"/>
      <c r="H23" s="7">
        <f>IFERROR(G23*D23,"")</f>
        <v/>
      </c>
      <c r="I23" s="7">
        <f>IFERROR(IF(F23&gt;=参数配置!$C$14,-H23,C23-H23),"")</f>
        <v/>
      </c>
      <c r="J23" s="29">
        <f>IFERROR(IF(F23&gt;=参数配置!$C$14,"全仓清仓",IF(H23&gt;C23,"卖出超额","正常定投")),"")</f>
        <v/>
      </c>
      <c r="K23" s="30">
        <f>IFERROR(I23,"")</f>
        <v/>
      </c>
      <c r="L23" s="17" t="n"/>
      <c r="M23" s="27" t="n"/>
      <c r="N23" s="31">
        <f>IFERROR(G23+M23,"")</f>
        <v/>
      </c>
      <c r="O23" s="7">
        <f>IFERROR(O22+L23,"")</f>
        <v/>
      </c>
      <c r="P23" s="7">
        <f>IFERROR(-L23,"")</f>
        <v/>
      </c>
      <c r="Q23" s="32" t="n"/>
    </row>
    <row r="24">
      <c r="A24" s="33" t="n"/>
      <c r="B24" s="15" t="n"/>
      <c r="C24" s="7">
        <f>IFERROR(参数配置!$C$7*(B24-$S$3),"")</f>
        <v/>
      </c>
      <c r="D24" s="27" t="n"/>
      <c r="E24" s="27" t="n"/>
      <c r="F24" s="28">
        <f>IFERROR((D24-E24)/E24,"")</f>
        <v/>
      </c>
      <c r="G24" s="27" t="n"/>
      <c r="H24" s="7">
        <f>IFERROR(G24*D24,"")</f>
        <v/>
      </c>
      <c r="I24" s="7">
        <f>IFERROR(IF(F24&gt;=参数配置!$C$14,-H24,C24-H24),"")</f>
        <v/>
      </c>
      <c r="J24" s="29">
        <f>IFERROR(IF(F24&gt;=参数配置!$C$14,"全仓清仓",IF(H24&gt;C24,"卖出超额","正常定投")),"")</f>
        <v/>
      </c>
      <c r="K24" s="30">
        <f>IFERROR(I24,"")</f>
        <v/>
      </c>
      <c r="L24" s="17" t="n"/>
      <c r="M24" s="27" t="n"/>
      <c r="N24" s="31">
        <f>IFERROR(G24+M24,"")</f>
        <v/>
      </c>
      <c r="O24" s="7">
        <f>IFERROR(O23+L24,"")</f>
        <v/>
      </c>
      <c r="P24" s="7">
        <f>IFERROR(-L24,"")</f>
        <v/>
      </c>
      <c r="Q24" s="32" t="n"/>
    </row>
    <row r="25">
      <c r="A25" s="33" t="n"/>
      <c r="B25" s="15" t="n"/>
      <c r="C25" s="7">
        <f>IFERROR(参数配置!$C$7*(B25-$S$3),"")</f>
        <v/>
      </c>
      <c r="D25" s="27" t="n"/>
      <c r="E25" s="27" t="n"/>
      <c r="F25" s="28">
        <f>IFERROR((D25-E25)/E25,"")</f>
        <v/>
      </c>
      <c r="G25" s="27" t="n"/>
      <c r="H25" s="7">
        <f>IFERROR(G25*D25,"")</f>
        <v/>
      </c>
      <c r="I25" s="7">
        <f>IFERROR(IF(F25&gt;=参数配置!$C$14,-H25,C25-H25),"")</f>
        <v/>
      </c>
      <c r="J25" s="29">
        <f>IFERROR(IF(F25&gt;=参数配置!$C$14,"全仓清仓",IF(H25&gt;C25,"卖出超额","正常定投")),"")</f>
        <v/>
      </c>
      <c r="K25" s="30">
        <f>IFERROR(I25,"")</f>
        <v/>
      </c>
      <c r="L25" s="17" t="n"/>
      <c r="M25" s="27" t="n"/>
      <c r="N25" s="31">
        <f>IFERROR(G25+M25,"")</f>
        <v/>
      </c>
      <c r="O25" s="7">
        <f>IFERROR(O24+L25,"")</f>
        <v/>
      </c>
      <c r="P25" s="7">
        <f>IFERROR(-L25,"")</f>
        <v/>
      </c>
      <c r="Q25" s="32" t="n"/>
    </row>
    <row r="26">
      <c r="A26" s="33" t="n"/>
      <c r="B26" s="15" t="n"/>
      <c r="C26" s="7">
        <f>IFERROR(参数配置!$C$7*(B26-$S$3),"")</f>
        <v/>
      </c>
      <c r="D26" s="27" t="n"/>
      <c r="E26" s="27" t="n"/>
      <c r="F26" s="28">
        <f>IFERROR((D26-E26)/E26,"")</f>
        <v/>
      </c>
      <c r="G26" s="27" t="n"/>
      <c r="H26" s="7">
        <f>IFERROR(G26*D26,"")</f>
        <v/>
      </c>
      <c r="I26" s="7">
        <f>IFERROR(IF(F26&gt;=参数配置!$C$14,-H26,C26-H26),"")</f>
        <v/>
      </c>
      <c r="J26" s="29">
        <f>IFERROR(IF(F26&gt;=参数配置!$C$14,"全仓清仓",IF(H26&gt;C26,"卖出超额","正常定投")),"")</f>
        <v/>
      </c>
      <c r="K26" s="30">
        <f>IFERROR(I26,"")</f>
        <v/>
      </c>
      <c r="L26" s="17" t="n"/>
      <c r="M26" s="27" t="n"/>
      <c r="N26" s="31">
        <f>IFERROR(G26+M26,"")</f>
        <v/>
      </c>
      <c r="O26" s="7">
        <f>IFERROR(O25+L26,"")</f>
        <v/>
      </c>
      <c r="P26" s="7">
        <f>IFERROR(-L26,"")</f>
        <v/>
      </c>
      <c r="Q26" s="32" t="n"/>
    </row>
    <row r="27">
      <c r="A27" s="33" t="n"/>
      <c r="B27" s="15" t="n"/>
      <c r="C27" s="7">
        <f>IFERROR(参数配置!$C$7*(B27-$S$3),"")</f>
        <v/>
      </c>
      <c r="D27" s="27" t="n"/>
      <c r="E27" s="27" t="n"/>
      <c r="F27" s="28">
        <f>IFERROR((D27-E27)/E27,"")</f>
        <v/>
      </c>
      <c r="G27" s="27" t="n"/>
      <c r="H27" s="7">
        <f>IFERROR(G27*D27,"")</f>
        <v/>
      </c>
      <c r="I27" s="7">
        <f>IFERROR(IF(F27&gt;=参数配置!$C$14,-H27,C27-H27),"")</f>
        <v/>
      </c>
      <c r="J27" s="29">
        <f>IFERROR(IF(F27&gt;=参数配置!$C$14,"全仓清仓",IF(H27&gt;C27,"卖出超额","正常定投")),"")</f>
        <v/>
      </c>
      <c r="K27" s="30">
        <f>IFERROR(I27,"")</f>
        <v/>
      </c>
      <c r="L27" s="17" t="n"/>
      <c r="M27" s="27" t="n"/>
      <c r="N27" s="31">
        <f>IFERROR(G27+M27,"")</f>
        <v/>
      </c>
      <c r="O27" s="7">
        <f>IFERROR(O26+L27,"")</f>
        <v/>
      </c>
      <c r="P27" s="7">
        <f>IFERROR(-L27,"")</f>
        <v/>
      </c>
      <c r="Q27" s="32" t="n"/>
    </row>
    <row r="28">
      <c r="A28" s="33" t="n"/>
      <c r="B28" s="15" t="n"/>
      <c r="C28" s="7">
        <f>IFERROR(参数配置!$C$7*(B28-$S$3),"")</f>
        <v/>
      </c>
      <c r="D28" s="27" t="n"/>
      <c r="E28" s="27" t="n"/>
      <c r="F28" s="28">
        <f>IFERROR((D28-E28)/E28,"")</f>
        <v/>
      </c>
      <c r="G28" s="27" t="n"/>
      <c r="H28" s="7">
        <f>IFERROR(G28*D28,"")</f>
        <v/>
      </c>
      <c r="I28" s="7">
        <f>IFERROR(IF(F28&gt;=参数配置!$C$14,-H28,C28-H28),"")</f>
        <v/>
      </c>
      <c r="J28" s="29">
        <f>IFERROR(IF(F28&gt;=参数配置!$C$14,"全仓清仓",IF(H28&gt;C28,"卖出超额","正常定投")),"")</f>
        <v/>
      </c>
      <c r="K28" s="30">
        <f>IFERROR(I28,"")</f>
        <v/>
      </c>
      <c r="L28" s="17" t="n"/>
      <c r="M28" s="27" t="n"/>
      <c r="N28" s="31">
        <f>IFERROR(G28+M28,"")</f>
        <v/>
      </c>
      <c r="O28" s="7">
        <f>IFERROR(O27+L28,"")</f>
        <v/>
      </c>
      <c r="P28" s="7">
        <f>IFERROR(-L28,"")</f>
        <v/>
      </c>
      <c r="Q28" s="32" t="n"/>
    </row>
    <row r="29">
      <c r="A29" s="33" t="n"/>
      <c r="B29" s="15" t="n"/>
      <c r="C29" s="7">
        <f>IFERROR(参数配置!$C$7*(B29-$S$3),"")</f>
        <v/>
      </c>
      <c r="D29" s="27" t="n"/>
      <c r="E29" s="27" t="n"/>
      <c r="F29" s="28">
        <f>IFERROR((D29-E29)/E29,"")</f>
        <v/>
      </c>
      <c r="G29" s="27" t="n"/>
      <c r="H29" s="7">
        <f>IFERROR(G29*D29,"")</f>
        <v/>
      </c>
      <c r="I29" s="7">
        <f>IFERROR(IF(F29&gt;=参数配置!$C$14,-H29,C29-H29),"")</f>
        <v/>
      </c>
      <c r="J29" s="29">
        <f>IFERROR(IF(F29&gt;=参数配置!$C$14,"全仓清仓",IF(H29&gt;C29,"卖出超额","正常定投")),"")</f>
        <v/>
      </c>
      <c r="K29" s="30">
        <f>IFERROR(I29,"")</f>
        <v/>
      </c>
      <c r="L29" s="17" t="n"/>
      <c r="M29" s="27" t="n"/>
      <c r="N29" s="31">
        <f>IFERROR(G29+M29,"")</f>
        <v/>
      </c>
      <c r="O29" s="7">
        <f>IFERROR(O28+L29,"")</f>
        <v/>
      </c>
      <c r="P29" s="7">
        <f>IFERROR(-L29,"")</f>
        <v/>
      </c>
      <c r="Q29" s="32" t="n"/>
    </row>
    <row r="30">
      <c r="A30" s="33" t="n"/>
      <c r="B30" s="15" t="n"/>
      <c r="C30" s="7">
        <f>IFERROR(参数配置!$C$7*(B30-$S$3),"")</f>
        <v/>
      </c>
      <c r="D30" s="27" t="n"/>
      <c r="E30" s="27" t="n"/>
      <c r="F30" s="28">
        <f>IFERROR((D30-E30)/E30,"")</f>
        <v/>
      </c>
      <c r="G30" s="27" t="n"/>
      <c r="H30" s="7">
        <f>IFERROR(G30*D30,"")</f>
        <v/>
      </c>
      <c r="I30" s="7">
        <f>IFERROR(IF(F30&gt;=参数配置!$C$14,-H30,C30-H30),"")</f>
        <v/>
      </c>
      <c r="J30" s="29">
        <f>IFERROR(IF(F30&gt;=参数配置!$C$14,"全仓清仓",IF(H30&gt;C30,"卖出超额","正常定投")),"")</f>
        <v/>
      </c>
      <c r="K30" s="30">
        <f>IFERROR(I30,"")</f>
        <v/>
      </c>
      <c r="L30" s="17" t="n"/>
      <c r="M30" s="27" t="n"/>
      <c r="N30" s="31">
        <f>IFERROR(G30+M30,"")</f>
        <v/>
      </c>
      <c r="O30" s="7">
        <f>IFERROR(O29+L30,"")</f>
        <v/>
      </c>
      <c r="P30" s="7">
        <f>IFERROR(-L30,"")</f>
        <v/>
      </c>
      <c r="Q30" s="32" t="n"/>
    </row>
    <row r="31">
      <c r="A31" s="33" t="n"/>
      <c r="B31" s="15" t="n"/>
      <c r="C31" s="7">
        <f>IFERROR(参数配置!$C$7*(B31-$S$3),"")</f>
        <v/>
      </c>
      <c r="D31" s="27" t="n"/>
      <c r="E31" s="27" t="n"/>
      <c r="F31" s="28">
        <f>IFERROR((D31-E31)/E31,"")</f>
        <v/>
      </c>
      <c r="G31" s="27" t="n"/>
      <c r="H31" s="7">
        <f>IFERROR(G31*D31,"")</f>
        <v/>
      </c>
      <c r="I31" s="7">
        <f>IFERROR(IF(F31&gt;=参数配置!$C$14,-H31,C31-H31),"")</f>
        <v/>
      </c>
      <c r="J31" s="29">
        <f>IFERROR(IF(F31&gt;=参数配置!$C$14,"全仓清仓",IF(H31&gt;C31,"卖出超额","正常定投")),"")</f>
        <v/>
      </c>
      <c r="K31" s="30">
        <f>IFERROR(I31,"")</f>
        <v/>
      </c>
      <c r="L31" s="17" t="n"/>
      <c r="M31" s="27" t="n"/>
      <c r="N31" s="31">
        <f>IFERROR(G31+M31,"")</f>
        <v/>
      </c>
      <c r="O31" s="7">
        <f>IFERROR(O30+L31,"")</f>
        <v/>
      </c>
      <c r="P31" s="7">
        <f>IFERROR(-L31,"")</f>
        <v/>
      </c>
      <c r="Q31" s="32" t="n"/>
    </row>
    <row r="32">
      <c r="A32" s="33" t="n"/>
      <c r="B32" s="15" t="n"/>
      <c r="C32" s="7">
        <f>IFERROR(参数配置!$C$7*(B32-$S$3),"")</f>
        <v/>
      </c>
      <c r="D32" s="27" t="n"/>
      <c r="E32" s="27" t="n"/>
      <c r="F32" s="28">
        <f>IFERROR((D32-E32)/E32,"")</f>
        <v/>
      </c>
      <c r="G32" s="27" t="n"/>
      <c r="H32" s="7">
        <f>IFERROR(G32*D32,"")</f>
        <v/>
      </c>
      <c r="I32" s="7">
        <f>IFERROR(IF(F32&gt;=参数配置!$C$14,-H32,C32-H32),"")</f>
        <v/>
      </c>
      <c r="J32" s="29">
        <f>IFERROR(IF(F32&gt;=参数配置!$C$14,"全仓清仓",IF(H32&gt;C32,"卖出超额","正常定投")),"")</f>
        <v/>
      </c>
      <c r="K32" s="30">
        <f>IFERROR(I32,"")</f>
        <v/>
      </c>
      <c r="L32" s="17" t="n"/>
      <c r="M32" s="27" t="n"/>
      <c r="N32" s="31">
        <f>IFERROR(G32+M32,"")</f>
        <v/>
      </c>
      <c r="O32" s="7">
        <f>IFERROR(O31+L32,"")</f>
        <v/>
      </c>
      <c r="P32" s="7">
        <f>IFERROR(-L32,"")</f>
        <v/>
      </c>
      <c r="Q32" s="32" t="n"/>
    </row>
    <row r="33">
      <c r="A33" s="33" t="n"/>
      <c r="B33" s="15" t="n"/>
      <c r="C33" s="7">
        <f>IFERROR(参数配置!$C$7*(B33-$S$3),"")</f>
        <v/>
      </c>
      <c r="D33" s="27" t="n"/>
      <c r="E33" s="27" t="n"/>
      <c r="F33" s="28">
        <f>IFERROR((D33-E33)/E33,"")</f>
        <v/>
      </c>
      <c r="G33" s="27" t="n"/>
      <c r="H33" s="7">
        <f>IFERROR(G33*D33,"")</f>
        <v/>
      </c>
      <c r="I33" s="7">
        <f>IFERROR(IF(F33&gt;=参数配置!$C$14,-H33,C33-H33),"")</f>
        <v/>
      </c>
      <c r="J33" s="29">
        <f>IFERROR(IF(F33&gt;=参数配置!$C$14,"全仓清仓",IF(H33&gt;C33,"卖出超额","正常定投")),"")</f>
        <v/>
      </c>
      <c r="K33" s="30">
        <f>IFERROR(I33,"")</f>
        <v/>
      </c>
      <c r="L33" s="17" t="n"/>
      <c r="M33" s="27" t="n"/>
      <c r="N33" s="31">
        <f>IFERROR(G33+M33,"")</f>
        <v/>
      </c>
      <c r="O33" s="7">
        <f>IFERROR(O32+L33,"")</f>
        <v/>
      </c>
      <c r="P33" s="7">
        <f>IFERROR(-L33,"")</f>
        <v/>
      </c>
      <c r="Q33" s="32" t="n"/>
    </row>
    <row r="34">
      <c r="A34" s="33" t="n"/>
      <c r="B34" s="15" t="n"/>
      <c r="C34" s="7">
        <f>IFERROR(参数配置!$C$7*(B34-$S$3),"")</f>
        <v/>
      </c>
      <c r="D34" s="27" t="n"/>
      <c r="E34" s="27" t="n"/>
      <c r="F34" s="28">
        <f>IFERROR((D34-E34)/E34,"")</f>
        <v/>
      </c>
      <c r="G34" s="27" t="n"/>
      <c r="H34" s="7">
        <f>IFERROR(G34*D34,"")</f>
        <v/>
      </c>
      <c r="I34" s="7">
        <f>IFERROR(IF(F34&gt;=参数配置!$C$14,-H34,C34-H34),"")</f>
        <v/>
      </c>
      <c r="J34" s="29">
        <f>IFERROR(IF(F34&gt;=参数配置!$C$14,"全仓清仓",IF(H34&gt;C34,"卖出超额","正常定投")),"")</f>
        <v/>
      </c>
      <c r="K34" s="30">
        <f>IFERROR(I34,"")</f>
        <v/>
      </c>
      <c r="L34" s="17" t="n"/>
      <c r="M34" s="27" t="n"/>
      <c r="N34" s="31">
        <f>IFERROR(G34+M34,"")</f>
        <v/>
      </c>
      <c r="O34" s="7">
        <f>IFERROR(O33+L34,"")</f>
        <v/>
      </c>
      <c r="P34" s="7">
        <f>IFERROR(-L34,"")</f>
        <v/>
      </c>
      <c r="Q34" s="32" t="n"/>
    </row>
    <row r="35">
      <c r="A35" s="33" t="n"/>
      <c r="B35" s="15" t="n"/>
      <c r="C35" s="7">
        <f>IFERROR(参数配置!$C$7*(B35-$S$3),"")</f>
        <v/>
      </c>
      <c r="D35" s="27" t="n"/>
      <c r="E35" s="27" t="n"/>
      <c r="F35" s="28">
        <f>IFERROR((D35-E35)/E35,"")</f>
        <v/>
      </c>
      <c r="G35" s="27" t="n"/>
      <c r="H35" s="7">
        <f>IFERROR(G35*D35,"")</f>
        <v/>
      </c>
      <c r="I35" s="7">
        <f>IFERROR(IF(F35&gt;=参数配置!$C$14,-H35,C35-H35),"")</f>
        <v/>
      </c>
      <c r="J35" s="29">
        <f>IFERROR(IF(F35&gt;=参数配置!$C$14,"全仓清仓",IF(H35&gt;C35,"卖出超额","正常定投")),"")</f>
        <v/>
      </c>
      <c r="K35" s="30">
        <f>IFERROR(I35,"")</f>
        <v/>
      </c>
      <c r="L35" s="17" t="n"/>
      <c r="M35" s="27" t="n"/>
      <c r="N35" s="31">
        <f>IFERROR(G35+M35,"")</f>
        <v/>
      </c>
      <c r="O35" s="7">
        <f>IFERROR(O34+L35,"")</f>
        <v/>
      </c>
      <c r="P35" s="7">
        <f>IFERROR(-L35,"")</f>
        <v/>
      </c>
      <c r="Q35" s="32" t="n"/>
    </row>
    <row r="36">
      <c r="A36" s="33" t="n"/>
      <c r="B36" s="15" t="n"/>
      <c r="C36" s="7">
        <f>IFERROR(参数配置!$C$7*(B36-$S$3),"")</f>
        <v/>
      </c>
      <c r="D36" s="27" t="n"/>
      <c r="E36" s="27" t="n"/>
      <c r="F36" s="28">
        <f>IFERROR((D36-E36)/E36,"")</f>
        <v/>
      </c>
      <c r="G36" s="27" t="n"/>
      <c r="H36" s="7">
        <f>IFERROR(G36*D36,"")</f>
        <v/>
      </c>
      <c r="I36" s="7">
        <f>IFERROR(IF(F36&gt;=参数配置!$C$14,-H36,C36-H36),"")</f>
        <v/>
      </c>
      <c r="J36" s="29">
        <f>IFERROR(IF(F36&gt;=参数配置!$C$14,"全仓清仓",IF(H36&gt;C36,"卖出超额","正常定投")),"")</f>
        <v/>
      </c>
      <c r="K36" s="30">
        <f>IFERROR(I36,"")</f>
        <v/>
      </c>
      <c r="L36" s="17" t="n"/>
      <c r="M36" s="27" t="n"/>
      <c r="N36" s="31">
        <f>IFERROR(G36+M36,"")</f>
        <v/>
      </c>
      <c r="O36" s="7">
        <f>IFERROR(O35+L36,"")</f>
        <v/>
      </c>
      <c r="P36" s="7">
        <f>IFERROR(-L36,"")</f>
        <v/>
      </c>
      <c r="Q36" s="32" t="n"/>
    </row>
    <row r="37">
      <c r="A37" s="33" t="n"/>
      <c r="B37" s="15" t="n"/>
      <c r="C37" s="7">
        <f>IFERROR(参数配置!$C$7*(B37-$S$3),"")</f>
        <v/>
      </c>
      <c r="D37" s="27" t="n"/>
      <c r="E37" s="27" t="n"/>
      <c r="F37" s="28">
        <f>IFERROR((D37-E37)/E37,"")</f>
        <v/>
      </c>
      <c r="G37" s="27" t="n"/>
      <c r="H37" s="7">
        <f>IFERROR(G37*D37,"")</f>
        <v/>
      </c>
      <c r="I37" s="7">
        <f>IFERROR(IF(F37&gt;=参数配置!$C$14,-H37,C37-H37),"")</f>
        <v/>
      </c>
      <c r="J37" s="29">
        <f>IFERROR(IF(F37&gt;=参数配置!$C$14,"全仓清仓",IF(H37&gt;C37,"卖出超额","正常定投")),"")</f>
        <v/>
      </c>
      <c r="K37" s="30">
        <f>IFERROR(I37,"")</f>
        <v/>
      </c>
      <c r="L37" s="17" t="n"/>
      <c r="M37" s="27" t="n"/>
      <c r="N37" s="31">
        <f>IFERROR(G37+M37,"")</f>
        <v/>
      </c>
      <c r="O37" s="7">
        <f>IFERROR(O36+L37,"")</f>
        <v/>
      </c>
      <c r="P37" s="7">
        <f>IFERROR(-L37,"")</f>
        <v/>
      </c>
      <c r="Q37" s="32" t="n"/>
    </row>
    <row r="38">
      <c r="A38" s="33" t="n"/>
      <c r="B38" s="15" t="n"/>
      <c r="C38" s="7">
        <f>IFERROR(参数配置!$C$7*(B38-$S$3),"")</f>
        <v/>
      </c>
      <c r="D38" s="27" t="n"/>
      <c r="E38" s="27" t="n"/>
      <c r="F38" s="28">
        <f>IFERROR((D38-E38)/E38,"")</f>
        <v/>
      </c>
      <c r="G38" s="27" t="n"/>
      <c r="H38" s="7">
        <f>IFERROR(G38*D38,"")</f>
        <v/>
      </c>
      <c r="I38" s="7">
        <f>IFERROR(IF(F38&gt;=参数配置!$C$14,-H38,C38-H38),"")</f>
        <v/>
      </c>
      <c r="J38" s="29">
        <f>IFERROR(IF(F38&gt;=参数配置!$C$14,"全仓清仓",IF(H38&gt;C38,"卖出超额","正常定投")),"")</f>
        <v/>
      </c>
      <c r="K38" s="30">
        <f>IFERROR(I38,"")</f>
        <v/>
      </c>
      <c r="L38" s="17" t="n"/>
      <c r="M38" s="27" t="n"/>
      <c r="N38" s="31">
        <f>IFERROR(G38+M38,"")</f>
        <v/>
      </c>
      <c r="O38" s="7">
        <f>IFERROR(O37+L38,"")</f>
        <v/>
      </c>
      <c r="P38" s="7">
        <f>IFERROR(-L38,"")</f>
        <v/>
      </c>
      <c r="Q38" s="32" t="n"/>
    </row>
    <row r="39">
      <c r="A39" s="33" t="n"/>
      <c r="B39" s="15" t="n"/>
      <c r="C39" s="7">
        <f>IFERROR(参数配置!$C$7*(B39-$S$3),"")</f>
        <v/>
      </c>
      <c r="D39" s="27" t="n"/>
      <c r="E39" s="27" t="n"/>
      <c r="F39" s="28">
        <f>IFERROR((D39-E39)/E39,"")</f>
        <v/>
      </c>
      <c r="G39" s="27" t="n"/>
      <c r="H39" s="7">
        <f>IFERROR(G39*D39,"")</f>
        <v/>
      </c>
      <c r="I39" s="7">
        <f>IFERROR(IF(F39&gt;=参数配置!$C$14,-H39,C39-H39),"")</f>
        <v/>
      </c>
      <c r="J39" s="29">
        <f>IFERROR(IF(F39&gt;=参数配置!$C$14,"全仓清仓",IF(H39&gt;C39,"卖出超额","正常定投")),"")</f>
        <v/>
      </c>
      <c r="K39" s="30">
        <f>IFERROR(I39,"")</f>
        <v/>
      </c>
      <c r="L39" s="17" t="n"/>
      <c r="M39" s="27" t="n"/>
      <c r="N39" s="31">
        <f>IFERROR(G39+M39,"")</f>
        <v/>
      </c>
      <c r="O39" s="7">
        <f>IFERROR(O38+L39,"")</f>
        <v/>
      </c>
      <c r="P39" s="7">
        <f>IFERROR(-L39,"")</f>
        <v/>
      </c>
      <c r="Q39" s="32" t="n"/>
    </row>
    <row r="40">
      <c r="A40" s="33" t="n"/>
      <c r="B40" s="15" t="n"/>
      <c r="C40" s="7">
        <f>IFERROR(参数配置!$C$7*(B40-$S$3),"")</f>
        <v/>
      </c>
      <c r="D40" s="27" t="n"/>
      <c r="E40" s="27" t="n"/>
      <c r="F40" s="28">
        <f>IFERROR((D40-E40)/E40,"")</f>
        <v/>
      </c>
      <c r="G40" s="27" t="n"/>
      <c r="H40" s="7">
        <f>IFERROR(G40*D40,"")</f>
        <v/>
      </c>
      <c r="I40" s="7">
        <f>IFERROR(IF(F40&gt;=参数配置!$C$14,-H40,C40-H40),"")</f>
        <v/>
      </c>
      <c r="J40" s="29">
        <f>IFERROR(IF(F40&gt;=参数配置!$C$14,"全仓清仓",IF(H40&gt;C40,"卖出超额","正常定投")),"")</f>
        <v/>
      </c>
      <c r="K40" s="30">
        <f>IFERROR(I40,"")</f>
        <v/>
      </c>
      <c r="L40" s="17" t="n"/>
      <c r="M40" s="27" t="n"/>
      <c r="N40" s="31">
        <f>IFERROR(G40+M40,"")</f>
        <v/>
      </c>
      <c r="O40" s="7">
        <f>IFERROR(O39+L40,"")</f>
        <v/>
      </c>
      <c r="P40" s="7">
        <f>IFERROR(-L40,"")</f>
        <v/>
      </c>
      <c r="Q40" s="32" t="n"/>
    </row>
    <row r="41">
      <c r="A41" s="33" t="n"/>
      <c r="B41" s="15" t="n"/>
      <c r="C41" s="7">
        <f>IFERROR(参数配置!$C$7*(B41-$S$3),"")</f>
        <v/>
      </c>
      <c r="D41" s="27" t="n"/>
      <c r="E41" s="27" t="n"/>
      <c r="F41" s="28">
        <f>IFERROR((D41-E41)/E41,"")</f>
        <v/>
      </c>
      <c r="G41" s="27" t="n"/>
      <c r="H41" s="7">
        <f>IFERROR(G41*D41,"")</f>
        <v/>
      </c>
      <c r="I41" s="7">
        <f>IFERROR(IF(F41&gt;=参数配置!$C$14,-H41,C41-H41),"")</f>
        <v/>
      </c>
      <c r="J41" s="29">
        <f>IFERROR(IF(F41&gt;=参数配置!$C$14,"全仓清仓",IF(H41&gt;C41,"卖出超额","正常定投")),"")</f>
        <v/>
      </c>
      <c r="K41" s="30">
        <f>IFERROR(I41,"")</f>
        <v/>
      </c>
      <c r="L41" s="17" t="n"/>
      <c r="M41" s="27" t="n"/>
      <c r="N41" s="31">
        <f>IFERROR(G41+M41,"")</f>
        <v/>
      </c>
      <c r="O41" s="7">
        <f>IFERROR(O40+L41,"")</f>
        <v/>
      </c>
      <c r="P41" s="7">
        <f>IFERROR(-L41,"")</f>
        <v/>
      </c>
      <c r="Q41" s="32" t="n"/>
    </row>
    <row r="42">
      <c r="A42" s="33" t="n"/>
      <c r="B42" s="15" t="n"/>
      <c r="C42" s="7">
        <f>IFERROR(参数配置!$C$7*(B42-$S$3),"")</f>
        <v/>
      </c>
      <c r="D42" s="27" t="n"/>
      <c r="E42" s="27" t="n"/>
      <c r="F42" s="28">
        <f>IFERROR((D42-E42)/E42,"")</f>
        <v/>
      </c>
      <c r="G42" s="27" t="n"/>
      <c r="H42" s="7">
        <f>IFERROR(G42*D42,"")</f>
        <v/>
      </c>
      <c r="I42" s="7">
        <f>IFERROR(IF(F42&gt;=参数配置!$C$14,-H42,C42-H42),"")</f>
        <v/>
      </c>
      <c r="J42" s="29">
        <f>IFERROR(IF(F42&gt;=参数配置!$C$14,"全仓清仓",IF(H42&gt;C42,"卖出超额","正常定投")),"")</f>
        <v/>
      </c>
      <c r="K42" s="30">
        <f>IFERROR(I42,"")</f>
        <v/>
      </c>
      <c r="L42" s="17" t="n"/>
      <c r="M42" s="27" t="n"/>
      <c r="N42" s="31">
        <f>IFERROR(G42+M42,"")</f>
        <v/>
      </c>
      <c r="O42" s="7">
        <f>IFERROR(O41+L42,"")</f>
        <v/>
      </c>
      <c r="P42" s="7">
        <f>IFERROR(-L42,"")</f>
        <v/>
      </c>
      <c r="Q42" s="32" t="n"/>
    </row>
    <row r="43">
      <c r="A43" s="33" t="n"/>
      <c r="B43" s="15" t="n"/>
      <c r="C43" s="7">
        <f>IFERROR(参数配置!$C$7*(B43-$S$3),"")</f>
        <v/>
      </c>
      <c r="D43" s="27" t="n"/>
      <c r="E43" s="27" t="n"/>
      <c r="F43" s="28">
        <f>IFERROR((D43-E43)/E43,"")</f>
        <v/>
      </c>
      <c r="G43" s="27" t="n"/>
      <c r="H43" s="7">
        <f>IFERROR(G43*D43,"")</f>
        <v/>
      </c>
      <c r="I43" s="7">
        <f>IFERROR(IF(F43&gt;=参数配置!$C$14,-H43,C43-H43),"")</f>
        <v/>
      </c>
      <c r="J43" s="29">
        <f>IFERROR(IF(F43&gt;=参数配置!$C$14,"全仓清仓",IF(H43&gt;C43,"卖出超额","正常定投")),"")</f>
        <v/>
      </c>
      <c r="K43" s="30">
        <f>IFERROR(I43,"")</f>
        <v/>
      </c>
      <c r="L43" s="17" t="n"/>
      <c r="M43" s="27" t="n"/>
      <c r="N43" s="31">
        <f>IFERROR(G43+M43,"")</f>
        <v/>
      </c>
      <c r="O43" s="7">
        <f>IFERROR(O42+L43,"")</f>
        <v/>
      </c>
      <c r="P43" s="7">
        <f>IFERROR(-L43,"")</f>
        <v/>
      </c>
      <c r="Q43" s="32" t="n"/>
    </row>
    <row r="44">
      <c r="A44" s="33" t="n"/>
      <c r="B44" s="15" t="n"/>
      <c r="C44" s="7">
        <f>IFERROR(参数配置!$C$7*(B44-$S$3),"")</f>
        <v/>
      </c>
      <c r="D44" s="27" t="n"/>
      <c r="E44" s="27" t="n"/>
      <c r="F44" s="28">
        <f>IFERROR((D44-E44)/E44,"")</f>
        <v/>
      </c>
      <c r="G44" s="27" t="n"/>
      <c r="H44" s="7">
        <f>IFERROR(G44*D44,"")</f>
        <v/>
      </c>
      <c r="I44" s="7">
        <f>IFERROR(IF(F44&gt;=参数配置!$C$14,-H44,C44-H44),"")</f>
        <v/>
      </c>
      <c r="J44" s="29">
        <f>IFERROR(IF(F44&gt;=参数配置!$C$14,"全仓清仓",IF(H44&gt;C44,"卖出超额","正常定投")),"")</f>
        <v/>
      </c>
      <c r="K44" s="30">
        <f>IFERROR(I44,"")</f>
        <v/>
      </c>
      <c r="L44" s="17" t="n"/>
      <c r="M44" s="27" t="n"/>
      <c r="N44" s="31">
        <f>IFERROR(G44+M44,"")</f>
        <v/>
      </c>
      <c r="O44" s="7">
        <f>IFERROR(O43+L44,"")</f>
        <v/>
      </c>
      <c r="P44" s="7">
        <f>IFERROR(-L44,"")</f>
        <v/>
      </c>
      <c r="Q44" s="32" t="n"/>
    </row>
    <row r="45">
      <c r="A45" s="33" t="n"/>
      <c r="B45" s="15" t="n"/>
      <c r="C45" s="7">
        <f>IFERROR(参数配置!$C$7*(B45-$S$3),"")</f>
        <v/>
      </c>
      <c r="D45" s="27" t="n"/>
      <c r="E45" s="27" t="n"/>
      <c r="F45" s="28">
        <f>IFERROR((D45-E45)/E45,"")</f>
        <v/>
      </c>
      <c r="G45" s="27" t="n"/>
      <c r="H45" s="7">
        <f>IFERROR(G45*D45,"")</f>
        <v/>
      </c>
      <c r="I45" s="7">
        <f>IFERROR(IF(F45&gt;=参数配置!$C$14,-H45,C45-H45),"")</f>
        <v/>
      </c>
      <c r="J45" s="29">
        <f>IFERROR(IF(F45&gt;=参数配置!$C$14,"全仓清仓",IF(H45&gt;C45,"卖出超额","正常定投")),"")</f>
        <v/>
      </c>
      <c r="K45" s="30">
        <f>IFERROR(I45,"")</f>
        <v/>
      </c>
      <c r="L45" s="17" t="n"/>
      <c r="M45" s="27" t="n"/>
      <c r="N45" s="31">
        <f>IFERROR(G45+M45,"")</f>
        <v/>
      </c>
      <c r="O45" s="7">
        <f>IFERROR(O44+L45,"")</f>
        <v/>
      </c>
      <c r="P45" s="7">
        <f>IFERROR(-L45,"")</f>
        <v/>
      </c>
      <c r="Q45" s="32" t="n"/>
    </row>
    <row r="46">
      <c r="A46" s="33" t="n"/>
      <c r="B46" s="15" t="n"/>
      <c r="C46" s="7">
        <f>IFERROR(参数配置!$C$7*(B46-$S$3),"")</f>
        <v/>
      </c>
      <c r="D46" s="27" t="n"/>
      <c r="E46" s="27" t="n"/>
      <c r="F46" s="28">
        <f>IFERROR((D46-E46)/E46,"")</f>
        <v/>
      </c>
      <c r="G46" s="27" t="n"/>
      <c r="H46" s="7">
        <f>IFERROR(G46*D46,"")</f>
        <v/>
      </c>
      <c r="I46" s="7">
        <f>IFERROR(IF(F46&gt;=参数配置!$C$14,-H46,C46-H46),"")</f>
        <v/>
      </c>
      <c r="J46" s="29">
        <f>IFERROR(IF(F46&gt;=参数配置!$C$14,"全仓清仓",IF(H46&gt;C46,"卖出超额","正常定投")),"")</f>
        <v/>
      </c>
      <c r="K46" s="30">
        <f>IFERROR(I46,"")</f>
        <v/>
      </c>
      <c r="L46" s="17" t="n"/>
      <c r="M46" s="27" t="n"/>
      <c r="N46" s="31">
        <f>IFERROR(G46+M46,"")</f>
        <v/>
      </c>
      <c r="O46" s="7">
        <f>IFERROR(O45+L46,"")</f>
        <v/>
      </c>
      <c r="P46" s="7">
        <f>IFERROR(-L46,"")</f>
        <v/>
      </c>
      <c r="Q46" s="32" t="n"/>
    </row>
    <row r="47">
      <c r="A47" s="33" t="n"/>
      <c r="B47" s="15" t="n"/>
      <c r="C47" s="7">
        <f>IFERROR(参数配置!$C$7*(B47-$S$3),"")</f>
        <v/>
      </c>
      <c r="D47" s="27" t="n"/>
      <c r="E47" s="27" t="n"/>
      <c r="F47" s="28">
        <f>IFERROR((D47-E47)/E47,"")</f>
        <v/>
      </c>
      <c r="G47" s="27" t="n"/>
      <c r="H47" s="7">
        <f>IFERROR(G47*D47,"")</f>
        <v/>
      </c>
      <c r="I47" s="7">
        <f>IFERROR(IF(F47&gt;=参数配置!$C$14,-H47,C47-H47),"")</f>
        <v/>
      </c>
      <c r="J47" s="29">
        <f>IFERROR(IF(F47&gt;=参数配置!$C$14,"全仓清仓",IF(H47&gt;C47,"卖出超额","正常定投")),"")</f>
        <v/>
      </c>
      <c r="K47" s="30">
        <f>IFERROR(I47,"")</f>
        <v/>
      </c>
      <c r="L47" s="17" t="n"/>
      <c r="M47" s="27" t="n"/>
      <c r="N47" s="31">
        <f>IFERROR(G47+M47,"")</f>
        <v/>
      </c>
      <c r="O47" s="7">
        <f>IFERROR(O46+L47,"")</f>
        <v/>
      </c>
      <c r="P47" s="7">
        <f>IFERROR(-L47,"")</f>
        <v/>
      </c>
      <c r="Q47" s="32" t="n"/>
    </row>
    <row r="48">
      <c r="A48" s="33" t="n"/>
      <c r="B48" s="15" t="n"/>
      <c r="C48" s="7">
        <f>IFERROR(参数配置!$C$7*(B48-$S$3),"")</f>
        <v/>
      </c>
      <c r="D48" s="27" t="n"/>
      <c r="E48" s="27" t="n"/>
      <c r="F48" s="28">
        <f>IFERROR((D48-E48)/E48,"")</f>
        <v/>
      </c>
      <c r="G48" s="27" t="n"/>
      <c r="H48" s="7">
        <f>IFERROR(G48*D48,"")</f>
        <v/>
      </c>
      <c r="I48" s="7">
        <f>IFERROR(IF(F48&gt;=参数配置!$C$14,-H48,C48-H48),"")</f>
        <v/>
      </c>
      <c r="J48" s="29">
        <f>IFERROR(IF(F48&gt;=参数配置!$C$14,"全仓清仓",IF(H48&gt;C48,"卖出超额","正常定投")),"")</f>
        <v/>
      </c>
      <c r="K48" s="30">
        <f>IFERROR(I48,"")</f>
        <v/>
      </c>
      <c r="L48" s="17" t="n"/>
      <c r="M48" s="27" t="n"/>
      <c r="N48" s="31">
        <f>IFERROR(G48+M48,"")</f>
        <v/>
      </c>
      <c r="O48" s="7">
        <f>IFERROR(O47+L48,"")</f>
        <v/>
      </c>
      <c r="P48" s="7">
        <f>IFERROR(-L48,"")</f>
        <v/>
      </c>
      <c r="Q48" s="32" t="n"/>
    </row>
    <row r="49">
      <c r="A49" s="33" t="n"/>
      <c r="B49" s="15" t="n"/>
      <c r="C49" s="7">
        <f>IFERROR(参数配置!$C$7*(B49-$S$3),"")</f>
        <v/>
      </c>
      <c r="D49" s="27" t="n"/>
      <c r="E49" s="27" t="n"/>
      <c r="F49" s="28">
        <f>IFERROR((D49-E49)/E49,"")</f>
        <v/>
      </c>
      <c r="G49" s="27" t="n"/>
      <c r="H49" s="7">
        <f>IFERROR(G49*D49,"")</f>
        <v/>
      </c>
      <c r="I49" s="7">
        <f>IFERROR(IF(F49&gt;=参数配置!$C$14,-H49,C49-H49),"")</f>
        <v/>
      </c>
      <c r="J49" s="29">
        <f>IFERROR(IF(F49&gt;=参数配置!$C$14,"全仓清仓",IF(H49&gt;C49,"卖出超额","正常定投")),"")</f>
        <v/>
      </c>
      <c r="K49" s="30">
        <f>IFERROR(I49,"")</f>
        <v/>
      </c>
      <c r="L49" s="17" t="n"/>
      <c r="M49" s="27" t="n"/>
      <c r="N49" s="31">
        <f>IFERROR(G49+M49,"")</f>
        <v/>
      </c>
      <c r="O49" s="7">
        <f>IFERROR(O48+L49,"")</f>
        <v/>
      </c>
      <c r="P49" s="7">
        <f>IFERROR(-L49,"")</f>
        <v/>
      </c>
      <c r="Q49" s="32" t="n"/>
    </row>
    <row r="50">
      <c r="A50" s="33" t="n"/>
      <c r="B50" s="15" t="n"/>
      <c r="C50" s="7">
        <f>IFERROR(参数配置!$C$7*(B50-$S$3),"")</f>
        <v/>
      </c>
      <c r="D50" s="27" t="n"/>
      <c r="E50" s="27" t="n"/>
      <c r="F50" s="28">
        <f>IFERROR((D50-E50)/E50,"")</f>
        <v/>
      </c>
      <c r="G50" s="27" t="n"/>
      <c r="H50" s="7">
        <f>IFERROR(G50*D50,"")</f>
        <v/>
      </c>
      <c r="I50" s="7">
        <f>IFERROR(IF(F50&gt;=参数配置!$C$14,-H50,C50-H50),"")</f>
        <v/>
      </c>
      <c r="J50" s="29">
        <f>IFERROR(IF(F50&gt;=参数配置!$C$14,"全仓清仓",IF(H50&gt;C50,"卖出超额","正常定投")),"")</f>
        <v/>
      </c>
      <c r="K50" s="30">
        <f>IFERROR(I50,"")</f>
        <v/>
      </c>
      <c r="L50" s="17" t="n"/>
      <c r="M50" s="27" t="n"/>
      <c r="N50" s="31">
        <f>IFERROR(G50+M50,"")</f>
        <v/>
      </c>
      <c r="O50" s="7">
        <f>IFERROR(O49+L50,"")</f>
        <v/>
      </c>
      <c r="P50" s="7">
        <f>IFERROR(-L50,"")</f>
        <v/>
      </c>
      <c r="Q50" s="32" t="n"/>
    </row>
    <row r="51">
      <c r="A51" s="33" t="n"/>
      <c r="B51" s="15" t="n"/>
      <c r="C51" s="7">
        <f>IFERROR(参数配置!$C$7*(B51-$S$3),"")</f>
        <v/>
      </c>
      <c r="D51" s="27" t="n"/>
      <c r="E51" s="27" t="n"/>
      <c r="F51" s="28">
        <f>IFERROR((D51-E51)/E51,"")</f>
        <v/>
      </c>
      <c r="G51" s="27" t="n"/>
      <c r="H51" s="7">
        <f>IFERROR(G51*D51,"")</f>
        <v/>
      </c>
      <c r="I51" s="7">
        <f>IFERROR(IF(F51&gt;=参数配置!$C$14,-H51,C51-H51),"")</f>
        <v/>
      </c>
      <c r="J51" s="29">
        <f>IFERROR(IF(F51&gt;=参数配置!$C$14,"全仓清仓",IF(H51&gt;C51,"卖出超额","正常定投")),"")</f>
        <v/>
      </c>
      <c r="K51" s="30">
        <f>IFERROR(I51,"")</f>
        <v/>
      </c>
      <c r="L51" s="17" t="n"/>
      <c r="M51" s="27" t="n"/>
      <c r="N51" s="31">
        <f>IFERROR(G51+M51,"")</f>
        <v/>
      </c>
      <c r="O51" s="7">
        <f>IFERROR(O50+L51,"")</f>
        <v/>
      </c>
      <c r="P51" s="7">
        <f>IFERROR(-L51,"")</f>
        <v/>
      </c>
      <c r="Q51" s="32" t="n"/>
    </row>
    <row r="52">
      <c r="A52" s="33" t="n"/>
      <c r="B52" s="15" t="n"/>
      <c r="C52" s="7">
        <f>IFERROR(参数配置!$C$7*(B52-$S$3),"")</f>
        <v/>
      </c>
      <c r="D52" s="27" t="n"/>
      <c r="E52" s="27" t="n"/>
      <c r="F52" s="28">
        <f>IFERROR((D52-E52)/E52,"")</f>
        <v/>
      </c>
      <c r="G52" s="27" t="n"/>
      <c r="H52" s="7">
        <f>IFERROR(G52*D52,"")</f>
        <v/>
      </c>
      <c r="I52" s="7">
        <f>IFERROR(IF(F52&gt;=参数配置!$C$14,-H52,C52-H52),"")</f>
        <v/>
      </c>
      <c r="J52" s="29">
        <f>IFERROR(IF(F52&gt;=参数配置!$C$14,"全仓清仓",IF(H52&gt;C52,"卖出超额","正常定投")),"")</f>
        <v/>
      </c>
      <c r="K52" s="30">
        <f>IFERROR(I52,"")</f>
        <v/>
      </c>
      <c r="L52" s="17" t="n"/>
      <c r="M52" s="27" t="n"/>
      <c r="N52" s="31">
        <f>IFERROR(G52+M52,"")</f>
        <v/>
      </c>
      <c r="O52" s="7">
        <f>IFERROR(O51+L52,"")</f>
        <v/>
      </c>
      <c r="P52" s="7">
        <f>IFERROR(-L52,"")</f>
        <v/>
      </c>
      <c r="Q52" s="32" t="n"/>
    </row>
    <row r="53">
      <c r="A53" s="33" t="n"/>
      <c r="B53" s="15" t="n"/>
      <c r="C53" s="7">
        <f>IFERROR(参数配置!$C$7*(B53-$S$3),"")</f>
        <v/>
      </c>
      <c r="D53" s="27" t="n"/>
      <c r="E53" s="27" t="n"/>
      <c r="F53" s="28">
        <f>IFERROR((D53-E53)/E53,"")</f>
        <v/>
      </c>
      <c r="G53" s="27" t="n"/>
      <c r="H53" s="7">
        <f>IFERROR(G53*D53,"")</f>
        <v/>
      </c>
      <c r="I53" s="7">
        <f>IFERROR(IF(F53&gt;=参数配置!$C$14,-H53,C53-H53),"")</f>
        <v/>
      </c>
      <c r="J53" s="29">
        <f>IFERROR(IF(F53&gt;=参数配置!$C$14,"全仓清仓",IF(H53&gt;C53,"卖出超额","正常定投")),"")</f>
        <v/>
      </c>
      <c r="K53" s="30">
        <f>IFERROR(I53,"")</f>
        <v/>
      </c>
      <c r="L53" s="17" t="n"/>
      <c r="M53" s="27" t="n"/>
      <c r="N53" s="31">
        <f>IFERROR(G53+M53,"")</f>
        <v/>
      </c>
      <c r="O53" s="7">
        <f>IFERROR(O52+L53,"")</f>
        <v/>
      </c>
      <c r="P53" s="7">
        <f>IFERROR(-L53,"")</f>
        <v/>
      </c>
      <c r="Q53" s="32" t="n"/>
    </row>
    <row r="54">
      <c r="A54" s="33" t="n"/>
      <c r="B54" s="15" t="n"/>
      <c r="C54" s="7">
        <f>IFERROR(参数配置!$C$7*(B54-$S$3),"")</f>
        <v/>
      </c>
      <c r="D54" s="27" t="n"/>
      <c r="E54" s="27" t="n"/>
      <c r="F54" s="28">
        <f>IFERROR((D54-E54)/E54,"")</f>
        <v/>
      </c>
      <c r="G54" s="27" t="n"/>
      <c r="H54" s="7">
        <f>IFERROR(G54*D54,"")</f>
        <v/>
      </c>
      <c r="I54" s="7">
        <f>IFERROR(IF(F54&gt;=参数配置!$C$14,-H54,C54-H54),"")</f>
        <v/>
      </c>
      <c r="J54" s="29">
        <f>IFERROR(IF(F54&gt;=参数配置!$C$14,"全仓清仓",IF(H54&gt;C54,"卖出超额","正常定投")),"")</f>
        <v/>
      </c>
      <c r="K54" s="30">
        <f>IFERROR(I54,"")</f>
        <v/>
      </c>
      <c r="L54" s="17" t="n"/>
      <c r="M54" s="27" t="n"/>
      <c r="N54" s="31">
        <f>IFERROR(G54+M54,"")</f>
        <v/>
      </c>
      <c r="O54" s="7">
        <f>IFERROR(O53+L54,"")</f>
        <v/>
      </c>
      <c r="P54" s="7">
        <f>IFERROR(-L54,"")</f>
        <v/>
      </c>
      <c r="Q54" s="32" t="n"/>
    </row>
    <row r="55">
      <c r="A55" s="33" t="n"/>
      <c r="B55" s="15" t="n"/>
      <c r="C55" s="7">
        <f>IFERROR(参数配置!$C$7*(B55-$S$3),"")</f>
        <v/>
      </c>
      <c r="D55" s="27" t="n"/>
      <c r="E55" s="27" t="n"/>
      <c r="F55" s="28">
        <f>IFERROR((D55-E55)/E55,"")</f>
        <v/>
      </c>
      <c r="G55" s="27" t="n"/>
      <c r="H55" s="7">
        <f>IFERROR(G55*D55,"")</f>
        <v/>
      </c>
      <c r="I55" s="7">
        <f>IFERROR(IF(F55&gt;=参数配置!$C$14,-H55,C55-H55),"")</f>
        <v/>
      </c>
      <c r="J55" s="29">
        <f>IFERROR(IF(F55&gt;=参数配置!$C$14,"全仓清仓",IF(H55&gt;C55,"卖出超额","正常定投")),"")</f>
        <v/>
      </c>
      <c r="K55" s="30">
        <f>IFERROR(I55,"")</f>
        <v/>
      </c>
      <c r="L55" s="17" t="n"/>
      <c r="M55" s="27" t="n"/>
      <c r="N55" s="31">
        <f>IFERROR(G55+M55,"")</f>
        <v/>
      </c>
      <c r="O55" s="7">
        <f>IFERROR(O54+L55,"")</f>
        <v/>
      </c>
      <c r="P55" s="7">
        <f>IFERROR(-L55,"")</f>
        <v/>
      </c>
      <c r="Q55" s="32" t="n"/>
    </row>
    <row r="56">
      <c r="A56" s="33" t="n"/>
      <c r="B56" s="15" t="n"/>
      <c r="C56" s="7">
        <f>IFERROR(参数配置!$C$7*(B56-$S$3),"")</f>
        <v/>
      </c>
      <c r="D56" s="27" t="n"/>
      <c r="E56" s="27" t="n"/>
      <c r="F56" s="28">
        <f>IFERROR((D56-E56)/E56,"")</f>
        <v/>
      </c>
      <c r="G56" s="27" t="n"/>
      <c r="H56" s="7">
        <f>IFERROR(G56*D56,"")</f>
        <v/>
      </c>
      <c r="I56" s="7">
        <f>IFERROR(IF(F56&gt;=参数配置!$C$14,-H56,C56-H56),"")</f>
        <v/>
      </c>
      <c r="J56" s="29">
        <f>IFERROR(IF(F56&gt;=参数配置!$C$14,"全仓清仓",IF(H56&gt;C56,"卖出超额","正常定投")),"")</f>
        <v/>
      </c>
      <c r="K56" s="30">
        <f>IFERROR(I56,"")</f>
        <v/>
      </c>
      <c r="L56" s="17" t="n"/>
      <c r="M56" s="27" t="n"/>
      <c r="N56" s="31">
        <f>IFERROR(G56+M56,"")</f>
        <v/>
      </c>
      <c r="O56" s="7">
        <f>IFERROR(O55+L56,"")</f>
        <v/>
      </c>
      <c r="P56" s="7">
        <f>IFERROR(-L56,"")</f>
        <v/>
      </c>
      <c r="Q56" s="32" t="n"/>
    </row>
    <row r="57">
      <c r="A57" s="33" t="n"/>
      <c r="B57" s="15" t="n"/>
      <c r="C57" s="7">
        <f>IFERROR(参数配置!$C$7*(B57-$S$3),"")</f>
        <v/>
      </c>
      <c r="D57" s="27" t="n"/>
      <c r="E57" s="27" t="n"/>
      <c r="F57" s="28">
        <f>IFERROR((D57-E57)/E57,"")</f>
        <v/>
      </c>
      <c r="G57" s="27" t="n"/>
      <c r="H57" s="7">
        <f>IFERROR(G57*D57,"")</f>
        <v/>
      </c>
      <c r="I57" s="7">
        <f>IFERROR(IF(F57&gt;=参数配置!$C$14,-H57,C57-H57),"")</f>
        <v/>
      </c>
      <c r="J57" s="29">
        <f>IFERROR(IF(F57&gt;=参数配置!$C$14,"全仓清仓",IF(H57&gt;C57,"卖出超额","正常定投")),"")</f>
        <v/>
      </c>
      <c r="K57" s="30">
        <f>IFERROR(I57,"")</f>
        <v/>
      </c>
      <c r="L57" s="17" t="n"/>
      <c r="M57" s="27" t="n"/>
      <c r="N57" s="31">
        <f>IFERROR(G57+M57,"")</f>
        <v/>
      </c>
      <c r="O57" s="7">
        <f>IFERROR(O56+L57,"")</f>
        <v/>
      </c>
      <c r="P57" s="7">
        <f>IFERROR(-L57,"")</f>
        <v/>
      </c>
      <c r="Q57" s="32" t="n"/>
    </row>
    <row r="58">
      <c r="A58" s="33" t="n"/>
      <c r="B58" s="15" t="n"/>
      <c r="C58" s="7">
        <f>IFERROR(参数配置!$C$7*(B58-$S$3),"")</f>
        <v/>
      </c>
      <c r="D58" s="27" t="n"/>
      <c r="E58" s="27" t="n"/>
      <c r="F58" s="28">
        <f>IFERROR((D58-E58)/E58,"")</f>
        <v/>
      </c>
      <c r="G58" s="27" t="n"/>
      <c r="H58" s="7">
        <f>IFERROR(G58*D58,"")</f>
        <v/>
      </c>
      <c r="I58" s="7">
        <f>IFERROR(IF(F58&gt;=参数配置!$C$14,-H58,C58-H58),"")</f>
        <v/>
      </c>
      <c r="J58" s="29">
        <f>IFERROR(IF(F58&gt;=参数配置!$C$14,"全仓清仓",IF(H58&gt;C58,"卖出超额","正常定投")),"")</f>
        <v/>
      </c>
      <c r="K58" s="30">
        <f>IFERROR(I58,"")</f>
        <v/>
      </c>
      <c r="L58" s="17" t="n"/>
      <c r="M58" s="27" t="n"/>
      <c r="N58" s="31">
        <f>IFERROR(G58+M58,"")</f>
        <v/>
      </c>
      <c r="O58" s="7">
        <f>IFERROR(O57+L58,"")</f>
        <v/>
      </c>
      <c r="P58" s="7">
        <f>IFERROR(-L58,"")</f>
        <v/>
      </c>
      <c r="Q58" s="32" t="n"/>
    </row>
    <row r="59">
      <c r="A59" s="33" t="n"/>
      <c r="B59" s="15" t="n"/>
      <c r="C59" s="7">
        <f>IFERROR(参数配置!$C$7*(B59-$S$3),"")</f>
        <v/>
      </c>
      <c r="D59" s="27" t="n"/>
      <c r="E59" s="27" t="n"/>
      <c r="F59" s="28">
        <f>IFERROR((D59-E59)/E59,"")</f>
        <v/>
      </c>
      <c r="G59" s="27" t="n"/>
      <c r="H59" s="7">
        <f>IFERROR(G59*D59,"")</f>
        <v/>
      </c>
      <c r="I59" s="7">
        <f>IFERROR(IF(F59&gt;=参数配置!$C$14,-H59,C59-H59),"")</f>
        <v/>
      </c>
      <c r="J59" s="29">
        <f>IFERROR(IF(F59&gt;=参数配置!$C$14,"全仓清仓",IF(H59&gt;C59,"卖出超额","正常定投")),"")</f>
        <v/>
      </c>
      <c r="K59" s="30">
        <f>IFERROR(I59,"")</f>
        <v/>
      </c>
      <c r="L59" s="17" t="n"/>
      <c r="M59" s="27" t="n"/>
      <c r="N59" s="31">
        <f>IFERROR(G59+M59,"")</f>
        <v/>
      </c>
      <c r="O59" s="7">
        <f>IFERROR(O58+L59,"")</f>
        <v/>
      </c>
      <c r="P59" s="7">
        <f>IFERROR(-L59,"")</f>
        <v/>
      </c>
      <c r="Q59" s="32" t="n"/>
    </row>
    <row r="60">
      <c r="A60" s="33" t="n"/>
      <c r="B60" s="15" t="n"/>
      <c r="C60" s="7">
        <f>IFERROR(参数配置!$C$7*(B60-$S$3),"")</f>
        <v/>
      </c>
      <c r="D60" s="27" t="n"/>
      <c r="E60" s="27" t="n"/>
      <c r="F60" s="28">
        <f>IFERROR((D60-E60)/E60,"")</f>
        <v/>
      </c>
      <c r="G60" s="27" t="n"/>
      <c r="H60" s="7">
        <f>IFERROR(G60*D60,"")</f>
        <v/>
      </c>
      <c r="I60" s="7">
        <f>IFERROR(IF(F60&gt;=参数配置!$C$14,-H60,C60-H60),"")</f>
        <v/>
      </c>
      <c r="J60" s="29">
        <f>IFERROR(IF(F60&gt;=参数配置!$C$14,"全仓清仓",IF(H60&gt;C60,"卖出超额","正常定投")),"")</f>
        <v/>
      </c>
      <c r="K60" s="30">
        <f>IFERROR(I60,"")</f>
        <v/>
      </c>
      <c r="L60" s="17" t="n"/>
      <c r="M60" s="27" t="n"/>
      <c r="N60" s="31">
        <f>IFERROR(G60+M60,"")</f>
        <v/>
      </c>
      <c r="O60" s="7">
        <f>IFERROR(O59+L60,"")</f>
        <v/>
      </c>
      <c r="P60" s="7">
        <f>IFERROR(-L60,"")</f>
        <v/>
      </c>
      <c r="Q60" s="32" t="n"/>
    </row>
    <row r="61">
      <c r="A61" s="33" t="n"/>
      <c r="B61" s="15" t="n"/>
      <c r="C61" s="7">
        <f>IFERROR(参数配置!$C$7*(B61-$S$3),"")</f>
        <v/>
      </c>
      <c r="D61" s="27" t="n"/>
      <c r="E61" s="27" t="n"/>
      <c r="F61" s="28">
        <f>IFERROR((D61-E61)/E61,"")</f>
        <v/>
      </c>
      <c r="G61" s="27" t="n"/>
      <c r="H61" s="7">
        <f>IFERROR(G61*D61,"")</f>
        <v/>
      </c>
      <c r="I61" s="7">
        <f>IFERROR(IF(F61&gt;=参数配置!$C$14,-H61,C61-H61),"")</f>
        <v/>
      </c>
      <c r="J61" s="29">
        <f>IFERROR(IF(F61&gt;=参数配置!$C$14,"全仓清仓",IF(H61&gt;C61,"卖出超额","正常定投")),"")</f>
        <v/>
      </c>
      <c r="K61" s="30">
        <f>IFERROR(I61,"")</f>
        <v/>
      </c>
      <c r="L61" s="17" t="n"/>
      <c r="M61" s="27" t="n"/>
      <c r="N61" s="31">
        <f>IFERROR(G61+M61,"")</f>
        <v/>
      </c>
      <c r="O61" s="7">
        <f>IFERROR(O60+L61,"")</f>
        <v/>
      </c>
      <c r="P61" s="7">
        <f>IFERROR(-L61,"")</f>
        <v/>
      </c>
      <c r="Q61" s="32" t="n"/>
    </row>
    <row r="62">
      <c r="A62" s="33" t="n"/>
      <c r="B62" s="15" t="n"/>
      <c r="C62" s="7">
        <f>IFERROR(参数配置!$C$7*(B62-$S$3),"")</f>
        <v/>
      </c>
      <c r="D62" s="27" t="n"/>
      <c r="E62" s="27" t="n"/>
      <c r="F62" s="28">
        <f>IFERROR((D62-E62)/E62,"")</f>
        <v/>
      </c>
      <c r="G62" s="27" t="n"/>
      <c r="H62" s="7">
        <f>IFERROR(G62*D62,"")</f>
        <v/>
      </c>
      <c r="I62" s="7">
        <f>IFERROR(IF(F62&gt;=参数配置!$C$14,-H62,C62-H62),"")</f>
        <v/>
      </c>
      <c r="J62" s="29">
        <f>IFERROR(IF(F62&gt;=参数配置!$C$14,"全仓清仓",IF(H62&gt;C62,"卖出超额","正常定投")),"")</f>
        <v/>
      </c>
      <c r="K62" s="30">
        <f>IFERROR(I62,"")</f>
        <v/>
      </c>
      <c r="L62" s="17" t="n"/>
      <c r="M62" s="27" t="n"/>
      <c r="N62" s="31">
        <f>IFERROR(G62+M62,"")</f>
        <v/>
      </c>
      <c r="O62" s="7">
        <f>IFERROR(O61+L62,"")</f>
        <v/>
      </c>
      <c r="P62" s="7">
        <f>IFERROR(-L62,"")</f>
        <v/>
      </c>
      <c r="Q62" s="32" t="n"/>
    </row>
    <row r="63">
      <c r="A63" s="33" t="n"/>
      <c r="B63" s="15" t="n"/>
      <c r="C63" s="7">
        <f>IFERROR(参数配置!$C$7*(B63-$S$3),"")</f>
        <v/>
      </c>
      <c r="D63" s="27" t="n"/>
      <c r="E63" s="27" t="n"/>
      <c r="F63" s="28">
        <f>IFERROR((D63-E63)/E63,"")</f>
        <v/>
      </c>
      <c r="G63" s="27" t="n"/>
      <c r="H63" s="7">
        <f>IFERROR(G63*D63,"")</f>
        <v/>
      </c>
      <c r="I63" s="7">
        <f>IFERROR(IF(F63&gt;=参数配置!$C$14,-H63,C63-H63),"")</f>
        <v/>
      </c>
      <c r="J63" s="29">
        <f>IFERROR(IF(F63&gt;=参数配置!$C$14,"全仓清仓",IF(H63&gt;C63,"卖出超额","正常定投")),"")</f>
        <v/>
      </c>
      <c r="K63" s="30">
        <f>IFERROR(I63,"")</f>
        <v/>
      </c>
      <c r="L63" s="17" t="n"/>
      <c r="M63" s="27" t="n"/>
      <c r="N63" s="31">
        <f>IFERROR(G63+M63,"")</f>
        <v/>
      </c>
      <c r="O63" s="7">
        <f>IFERROR(O62+L63,"")</f>
        <v/>
      </c>
      <c r="P63" s="7">
        <f>IFERROR(-L63,"")</f>
        <v/>
      </c>
      <c r="Q63" s="32" t="n"/>
    </row>
    <row r="64">
      <c r="A64" s="33" t="n"/>
      <c r="B64" s="15" t="n"/>
      <c r="C64" s="7">
        <f>IFERROR(参数配置!$C$7*(B64-$S$3),"")</f>
        <v/>
      </c>
      <c r="D64" s="27" t="n"/>
      <c r="E64" s="27" t="n"/>
      <c r="F64" s="28">
        <f>IFERROR((D64-E64)/E64,"")</f>
        <v/>
      </c>
      <c r="G64" s="27" t="n"/>
      <c r="H64" s="7">
        <f>IFERROR(G64*D64,"")</f>
        <v/>
      </c>
      <c r="I64" s="7">
        <f>IFERROR(IF(F64&gt;=参数配置!$C$14,-H64,C64-H64),"")</f>
        <v/>
      </c>
      <c r="J64" s="29">
        <f>IFERROR(IF(F64&gt;=参数配置!$C$14,"全仓清仓",IF(H64&gt;C64,"卖出超额","正常定投")),"")</f>
        <v/>
      </c>
      <c r="K64" s="30">
        <f>IFERROR(I64,"")</f>
        <v/>
      </c>
      <c r="L64" s="17" t="n"/>
      <c r="M64" s="27" t="n"/>
      <c r="N64" s="31">
        <f>IFERROR(G64+M64,"")</f>
        <v/>
      </c>
      <c r="O64" s="7">
        <f>IFERROR(O63+L64,"")</f>
        <v/>
      </c>
      <c r="P64" s="7">
        <f>IFERROR(-L64,"")</f>
        <v/>
      </c>
      <c r="Q64" s="32" t="n"/>
    </row>
    <row r="65">
      <c r="A65" s="33" t="n"/>
      <c r="B65" s="15" t="n"/>
      <c r="C65" s="7">
        <f>IFERROR(参数配置!$C$7*(B65-$S$3),"")</f>
        <v/>
      </c>
      <c r="D65" s="27" t="n"/>
      <c r="E65" s="27" t="n"/>
      <c r="F65" s="28">
        <f>IFERROR((D65-E65)/E65,"")</f>
        <v/>
      </c>
      <c r="G65" s="27" t="n"/>
      <c r="H65" s="7">
        <f>IFERROR(G65*D65,"")</f>
        <v/>
      </c>
      <c r="I65" s="7">
        <f>IFERROR(IF(F65&gt;=参数配置!$C$14,-H65,C65-H65),"")</f>
        <v/>
      </c>
      <c r="J65" s="29">
        <f>IFERROR(IF(F65&gt;=参数配置!$C$14,"全仓清仓",IF(H65&gt;C65,"卖出超额","正常定投")),"")</f>
        <v/>
      </c>
      <c r="K65" s="30">
        <f>IFERROR(I65,"")</f>
        <v/>
      </c>
      <c r="L65" s="17" t="n"/>
      <c r="M65" s="27" t="n"/>
      <c r="N65" s="31">
        <f>IFERROR(G65+M65,"")</f>
        <v/>
      </c>
      <c r="O65" s="7">
        <f>IFERROR(O64+L65,"")</f>
        <v/>
      </c>
      <c r="P65" s="7">
        <f>IFERROR(-L65,"")</f>
        <v/>
      </c>
      <c r="Q65" s="32" t="n"/>
    </row>
    <row r="66">
      <c r="A66" s="33" t="n"/>
      <c r="B66" s="15" t="n"/>
      <c r="C66" s="7">
        <f>IFERROR(参数配置!$C$7*(B66-$S$3),"")</f>
        <v/>
      </c>
      <c r="D66" s="27" t="n"/>
      <c r="E66" s="27" t="n"/>
      <c r="F66" s="28">
        <f>IFERROR((D66-E66)/E66,"")</f>
        <v/>
      </c>
      <c r="G66" s="27" t="n"/>
      <c r="H66" s="7">
        <f>IFERROR(G66*D66,"")</f>
        <v/>
      </c>
      <c r="I66" s="7">
        <f>IFERROR(IF(F66&gt;=参数配置!$C$14,-H66,C66-H66),"")</f>
        <v/>
      </c>
      <c r="J66" s="29">
        <f>IFERROR(IF(F66&gt;=参数配置!$C$14,"全仓清仓",IF(H66&gt;C66,"卖出超额","正常定投")),"")</f>
        <v/>
      </c>
      <c r="K66" s="30">
        <f>IFERROR(I66,"")</f>
        <v/>
      </c>
      <c r="L66" s="17" t="n"/>
      <c r="M66" s="27" t="n"/>
      <c r="N66" s="31">
        <f>IFERROR(G66+M66,"")</f>
        <v/>
      </c>
      <c r="O66" s="7">
        <f>IFERROR(O65+L66,"")</f>
        <v/>
      </c>
      <c r="P66" s="7">
        <f>IFERROR(-L66,"")</f>
        <v/>
      </c>
      <c r="Q66" s="32" t="n"/>
    </row>
    <row r="67">
      <c r="A67" s="33" t="n"/>
      <c r="B67" s="15" t="n"/>
      <c r="C67" s="7">
        <f>IFERROR(参数配置!$C$7*(B67-$S$3),"")</f>
        <v/>
      </c>
      <c r="D67" s="27" t="n"/>
      <c r="E67" s="27" t="n"/>
      <c r="F67" s="28">
        <f>IFERROR((D67-E67)/E67,"")</f>
        <v/>
      </c>
      <c r="G67" s="27" t="n"/>
      <c r="H67" s="7">
        <f>IFERROR(G67*D67,"")</f>
        <v/>
      </c>
      <c r="I67" s="7">
        <f>IFERROR(IF(F67&gt;=参数配置!$C$14,-H67,C67-H67),"")</f>
        <v/>
      </c>
      <c r="J67" s="29">
        <f>IFERROR(IF(F67&gt;=参数配置!$C$14,"全仓清仓",IF(H67&gt;C67,"卖出超额","正常定投")),"")</f>
        <v/>
      </c>
      <c r="K67" s="30">
        <f>IFERROR(I67,"")</f>
        <v/>
      </c>
      <c r="L67" s="17" t="n"/>
      <c r="M67" s="27" t="n"/>
      <c r="N67" s="31">
        <f>IFERROR(G67+M67,"")</f>
        <v/>
      </c>
      <c r="O67" s="7">
        <f>IFERROR(O66+L67,"")</f>
        <v/>
      </c>
      <c r="P67" s="7">
        <f>IFERROR(-L67,"")</f>
        <v/>
      </c>
      <c r="Q67" s="32" t="n"/>
    </row>
    <row r="68">
      <c r="A68" s="33" t="n"/>
      <c r="B68" s="15" t="n"/>
      <c r="C68" s="7">
        <f>IFERROR(参数配置!$C$7*(B68-$S$3),"")</f>
        <v/>
      </c>
      <c r="D68" s="27" t="n"/>
      <c r="E68" s="27" t="n"/>
      <c r="F68" s="28">
        <f>IFERROR((D68-E68)/E68,"")</f>
        <v/>
      </c>
      <c r="G68" s="27" t="n"/>
      <c r="H68" s="7">
        <f>IFERROR(G68*D68,"")</f>
        <v/>
      </c>
      <c r="I68" s="7">
        <f>IFERROR(IF(F68&gt;=参数配置!$C$14,-H68,C68-H68),"")</f>
        <v/>
      </c>
      <c r="J68" s="29">
        <f>IFERROR(IF(F68&gt;=参数配置!$C$14,"全仓清仓",IF(H68&gt;C68,"卖出超额","正常定投")),"")</f>
        <v/>
      </c>
      <c r="K68" s="30">
        <f>IFERROR(I68,"")</f>
        <v/>
      </c>
      <c r="L68" s="17" t="n"/>
      <c r="M68" s="27" t="n"/>
      <c r="N68" s="31">
        <f>IFERROR(G68+M68,"")</f>
        <v/>
      </c>
      <c r="O68" s="7">
        <f>IFERROR(O67+L68,"")</f>
        <v/>
      </c>
      <c r="P68" s="7">
        <f>IFERROR(-L68,"")</f>
        <v/>
      </c>
      <c r="Q68" s="32" t="n"/>
    </row>
    <row r="69">
      <c r="A69" s="33" t="n"/>
      <c r="B69" s="15" t="n"/>
      <c r="C69" s="7">
        <f>IFERROR(参数配置!$C$7*(B69-$S$3),"")</f>
        <v/>
      </c>
      <c r="D69" s="27" t="n"/>
      <c r="E69" s="27" t="n"/>
      <c r="F69" s="28">
        <f>IFERROR((D69-E69)/E69,"")</f>
        <v/>
      </c>
      <c r="G69" s="27" t="n"/>
      <c r="H69" s="7">
        <f>IFERROR(G69*D69,"")</f>
        <v/>
      </c>
      <c r="I69" s="7">
        <f>IFERROR(IF(F69&gt;=参数配置!$C$14,-H69,C69-H69),"")</f>
        <v/>
      </c>
      <c r="J69" s="29">
        <f>IFERROR(IF(F69&gt;=参数配置!$C$14,"全仓清仓",IF(H69&gt;C69,"卖出超额","正常定投")),"")</f>
        <v/>
      </c>
      <c r="K69" s="30">
        <f>IFERROR(I69,"")</f>
        <v/>
      </c>
      <c r="L69" s="17" t="n"/>
      <c r="M69" s="27" t="n"/>
      <c r="N69" s="31">
        <f>IFERROR(G69+M69,"")</f>
        <v/>
      </c>
      <c r="O69" s="7">
        <f>IFERROR(O68+L69,"")</f>
        <v/>
      </c>
      <c r="P69" s="7">
        <f>IFERROR(-L69,"")</f>
        <v/>
      </c>
      <c r="Q69" s="32" t="n"/>
    </row>
    <row r="70">
      <c r="A70" s="33" t="n"/>
      <c r="B70" s="15" t="n"/>
      <c r="C70" s="7">
        <f>IFERROR(参数配置!$C$7*(B70-$S$3),"")</f>
        <v/>
      </c>
      <c r="D70" s="27" t="n"/>
      <c r="E70" s="27" t="n"/>
      <c r="F70" s="28">
        <f>IFERROR((D70-E70)/E70,"")</f>
        <v/>
      </c>
      <c r="G70" s="27" t="n"/>
      <c r="H70" s="7">
        <f>IFERROR(G70*D70,"")</f>
        <v/>
      </c>
      <c r="I70" s="7">
        <f>IFERROR(IF(F70&gt;=参数配置!$C$14,-H70,C70-H70),"")</f>
        <v/>
      </c>
      <c r="J70" s="29">
        <f>IFERROR(IF(F70&gt;=参数配置!$C$14,"全仓清仓",IF(H70&gt;C70,"卖出超额","正常定投")),"")</f>
        <v/>
      </c>
      <c r="K70" s="30">
        <f>IFERROR(I70,"")</f>
        <v/>
      </c>
      <c r="L70" s="17" t="n"/>
      <c r="M70" s="27" t="n"/>
      <c r="N70" s="31">
        <f>IFERROR(G70+M70,"")</f>
        <v/>
      </c>
      <c r="O70" s="7">
        <f>IFERROR(O69+L70,"")</f>
        <v/>
      </c>
      <c r="P70" s="7">
        <f>IFERROR(-L70,"")</f>
        <v/>
      </c>
      <c r="Q70" s="32" t="n"/>
    </row>
    <row r="71">
      <c r="A71" s="33" t="n"/>
      <c r="B71" s="15" t="n"/>
      <c r="C71" s="7">
        <f>IFERROR(参数配置!$C$7*(B71-$S$3),"")</f>
        <v/>
      </c>
      <c r="D71" s="27" t="n"/>
      <c r="E71" s="27" t="n"/>
      <c r="F71" s="28">
        <f>IFERROR((D71-E71)/E71,"")</f>
        <v/>
      </c>
      <c r="G71" s="27" t="n"/>
      <c r="H71" s="7">
        <f>IFERROR(G71*D71,"")</f>
        <v/>
      </c>
      <c r="I71" s="7">
        <f>IFERROR(IF(F71&gt;=参数配置!$C$14,-H71,C71-H71),"")</f>
        <v/>
      </c>
      <c r="J71" s="29">
        <f>IFERROR(IF(F71&gt;=参数配置!$C$14,"全仓清仓",IF(H71&gt;C71,"卖出超额","正常定投")),"")</f>
        <v/>
      </c>
      <c r="K71" s="30">
        <f>IFERROR(I71,"")</f>
        <v/>
      </c>
      <c r="L71" s="17" t="n"/>
      <c r="M71" s="27" t="n"/>
      <c r="N71" s="31">
        <f>IFERROR(G71+M71,"")</f>
        <v/>
      </c>
      <c r="O71" s="7">
        <f>IFERROR(O70+L71,"")</f>
        <v/>
      </c>
      <c r="P71" s="7">
        <f>IFERROR(-L71,"")</f>
        <v/>
      </c>
      <c r="Q71" s="32" t="n"/>
    </row>
    <row r="72">
      <c r="A72" s="33" t="n"/>
      <c r="B72" s="15" t="n"/>
      <c r="C72" s="7">
        <f>IFERROR(参数配置!$C$7*(B72-$S$3),"")</f>
        <v/>
      </c>
      <c r="D72" s="27" t="n"/>
      <c r="E72" s="27" t="n"/>
      <c r="F72" s="28">
        <f>IFERROR((D72-E72)/E72,"")</f>
        <v/>
      </c>
      <c r="G72" s="27" t="n"/>
      <c r="H72" s="7">
        <f>IFERROR(G72*D72,"")</f>
        <v/>
      </c>
      <c r="I72" s="7">
        <f>IFERROR(IF(F72&gt;=参数配置!$C$14,-H72,C72-H72),"")</f>
        <v/>
      </c>
      <c r="J72" s="29">
        <f>IFERROR(IF(F72&gt;=参数配置!$C$14,"全仓清仓",IF(H72&gt;C72,"卖出超额","正常定投")),"")</f>
        <v/>
      </c>
      <c r="K72" s="30">
        <f>IFERROR(I72,"")</f>
        <v/>
      </c>
      <c r="L72" s="17" t="n"/>
      <c r="M72" s="27" t="n"/>
      <c r="N72" s="31">
        <f>IFERROR(G72+M72,"")</f>
        <v/>
      </c>
      <c r="O72" s="7">
        <f>IFERROR(O71+L72,"")</f>
        <v/>
      </c>
      <c r="P72" s="7">
        <f>IFERROR(-L72,"")</f>
        <v/>
      </c>
      <c r="Q72" s="32" t="n"/>
    </row>
    <row r="73">
      <c r="A73" s="33" t="n"/>
      <c r="B73" s="15" t="n"/>
      <c r="C73" s="7">
        <f>IFERROR(参数配置!$C$7*(B73-$S$3),"")</f>
        <v/>
      </c>
      <c r="D73" s="27" t="n"/>
      <c r="E73" s="27" t="n"/>
      <c r="F73" s="28">
        <f>IFERROR((D73-E73)/E73,"")</f>
        <v/>
      </c>
      <c r="G73" s="27" t="n"/>
      <c r="H73" s="7">
        <f>IFERROR(G73*D73,"")</f>
        <v/>
      </c>
      <c r="I73" s="7">
        <f>IFERROR(IF(F73&gt;=参数配置!$C$14,-H73,C73-H73),"")</f>
        <v/>
      </c>
      <c r="J73" s="29">
        <f>IFERROR(IF(F73&gt;=参数配置!$C$14,"全仓清仓",IF(H73&gt;C73,"卖出超额","正常定投")),"")</f>
        <v/>
      </c>
      <c r="K73" s="30">
        <f>IFERROR(I73,"")</f>
        <v/>
      </c>
      <c r="L73" s="17" t="n"/>
      <c r="M73" s="27" t="n"/>
      <c r="N73" s="31">
        <f>IFERROR(G73+M73,"")</f>
        <v/>
      </c>
      <c r="O73" s="7">
        <f>IFERROR(O72+L73,"")</f>
        <v/>
      </c>
      <c r="P73" s="7">
        <f>IFERROR(-L73,"")</f>
        <v/>
      </c>
      <c r="Q73" s="32" t="n"/>
    </row>
    <row r="74">
      <c r="A74" s="33" t="n"/>
      <c r="B74" s="15" t="n"/>
      <c r="C74" s="7">
        <f>IFERROR(参数配置!$C$7*(B74-$S$3),"")</f>
        <v/>
      </c>
      <c r="D74" s="27" t="n"/>
      <c r="E74" s="27" t="n"/>
      <c r="F74" s="28">
        <f>IFERROR((D74-E74)/E74,"")</f>
        <v/>
      </c>
      <c r="G74" s="27" t="n"/>
      <c r="H74" s="7">
        <f>IFERROR(G74*D74,"")</f>
        <v/>
      </c>
      <c r="I74" s="7">
        <f>IFERROR(IF(F74&gt;=参数配置!$C$14,-H74,C74-H74),"")</f>
        <v/>
      </c>
      <c r="J74" s="29">
        <f>IFERROR(IF(F74&gt;=参数配置!$C$14,"全仓清仓",IF(H74&gt;C74,"卖出超额","正常定投")),"")</f>
        <v/>
      </c>
      <c r="K74" s="30">
        <f>IFERROR(I74,"")</f>
        <v/>
      </c>
      <c r="L74" s="17" t="n"/>
      <c r="M74" s="27" t="n"/>
      <c r="N74" s="31">
        <f>IFERROR(G74+M74,"")</f>
        <v/>
      </c>
      <c r="O74" s="7">
        <f>IFERROR(O73+L74,"")</f>
        <v/>
      </c>
      <c r="P74" s="7">
        <f>IFERROR(-L74,"")</f>
        <v/>
      </c>
      <c r="Q74" s="32" t="n"/>
    </row>
    <row r="75">
      <c r="A75" s="33" t="n"/>
      <c r="B75" s="15" t="n"/>
      <c r="C75" s="7">
        <f>IFERROR(参数配置!$C$7*(B75-$S$3),"")</f>
        <v/>
      </c>
      <c r="D75" s="27" t="n"/>
      <c r="E75" s="27" t="n"/>
      <c r="F75" s="28">
        <f>IFERROR((D75-E75)/E75,"")</f>
        <v/>
      </c>
      <c r="G75" s="27" t="n"/>
      <c r="H75" s="7">
        <f>IFERROR(G75*D75,"")</f>
        <v/>
      </c>
      <c r="I75" s="7">
        <f>IFERROR(IF(F75&gt;=参数配置!$C$14,-H75,C75-H75),"")</f>
        <v/>
      </c>
      <c r="J75" s="29">
        <f>IFERROR(IF(F75&gt;=参数配置!$C$14,"全仓清仓",IF(H75&gt;C75,"卖出超额","正常定投")),"")</f>
        <v/>
      </c>
      <c r="K75" s="30">
        <f>IFERROR(I75,"")</f>
        <v/>
      </c>
      <c r="L75" s="17" t="n"/>
      <c r="M75" s="27" t="n"/>
      <c r="N75" s="31">
        <f>IFERROR(G75+M75,"")</f>
        <v/>
      </c>
      <c r="O75" s="7">
        <f>IFERROR(O74+L75,"")</f>
        <v/>
      </c>
      <c r="P75" s="7">
        <f>IFERROR(-L75,"")</f>
        <v/>
      </c>
      <c r="Q75" s="32" t="n"/>
    </row>
    <row r="76">
      <c r="A76" s="33" t="n"/>
      <c r="B76" s="15" t="n"/>
      <c r="C76" s="7">
        <f>IFERROR(参数配置!$C$7*(B76-$S$3),"")</f>
        <v/>
      </c>
      <c r="D76" s="27" t="n"/>
      <c r="E76" s="27" t="n"/>
      <c r="F76" s="28">
        <f>IFERROR((D76-E76)/E76,"")</f>
        <v/>
      </c>
      <c r="G76" s="27" t="n"/>
      <c r="H76" s="7">
        <f>IFERROR(G76*D76,"")</f>
        <v/>
      </c>
      <c r="I76" s="7">
        <f>IFERROR(IF(F76&gt;=参数配置!$C$14,-H76,C76-H76),"")</f>
        <v/>
      </c>
      <c r="J76" s="29">
        <f>IFERROR(IF(F76&gt;=参数配置!$C$14,"全仓清仓",IF(H76&gt;C76,"卖出超额","正常定投")),"")</f>
        <v/>
      </c>
      <c r="K76" s="30">
        <f>IFERROR(I76,"")</f>
        <v/>
      </c>
      <c r="L76" s="17" t="n"/>
      <c r="M76" s="27" t="n"/>
      <c r="N76" s="31">
        <f>IFERROR(G76+M76,"")</f>
        <v/>
      </c>
      <c r="O76" s="7">
        <f>IFERROR(O75+L76,"")</f>
        <v/>
      </c>
      <c r="P76" s="7">
        <f>IFERROR(-L76,"")</f>
        <v/>
      </c>
      <c r="Q76" s="32" t="n"/>
    </row>
    <row r="77">
      <c r="A77" s="33" t="n"/>
      <c r="B77" s="15" t="n"/>
      <c r="C77" s="7">
        <f>IFERROR(参数配置!$C$7*(B77-$S$3),"")</f>
        <v/>
      </c>
      <c r="D77" s="27" t="n"/>
      <c r="E77" s="27" t="n"/>
      <c r="F77" s="28">
        <f>IFERROR((D77-E77)/E77,"")</f>
        <v/>
      </c>
      <c r="G77" s="27" t="n"/>
      <c r="H77" s="7">
        <f>IFERROR(G77*D77,"")</f>
        <v/>
      </c>
      <c r="I77" s="7">
        <f>IFERROR(IF(F77&gt;=参数配置!$C$14,-H77,C77-H77),"")</f>
        <v/>
      </c>
      <c r="J77" s="29">
        <f>IFERROR(IF(F77&gt;=参数配置!$C$14,"全仓清仓",IF(H77&gt;C77,"卖出超额","正常定投")),"")</f>
        <v/>
      </c>
      <c r="K77" s="30">
        <f>IFERROR(I77,"")</f>
        <v/>
      </c>
      <c r="L77" s="17" t="n"/>
      <c r="M77" s="27" t="n"/>
      <c r="N77" s="31">
        <f>IFERROR(G77+M77,"")</f>
        <v/>
      </c>
      <c r="O77" s="7">
        <f>IFERROR(O76+L77,"")</f>
        <v/>
      </c>
      <c r="P77" s="7">
        <f>IFERROR(-L77,"")</f>
        <v/>
      </c>
      <c r="Q77" s="32" t="n"/>
    </row>
    <row r="78">
      <c r="A78" s="33" t="n"/>
      <c r="B78" s="15" t="n"/>
      <c r="C78" s="7">
        <f>IFERROR(参数配置!$C$7*(B78-$S$3),"")</f>
        <v/>
      </c>
      <c r="D78" s="27" t="n"/>
      <c r="E78" s="27" t="n"/>
      <c r="F78" s="28">
        <f>IFERROR((D78-E78)/E78,"")</f>
        <v/>
      </c>
      <c r="G78" s="27" t="n"/>
      <c r="H78" s="7">
        <f>IFERROR(G78*D78,"")</f>
        <v/>
      </c>
      <c r="I78" s="7">
        <f>IFERROR(IF(F78&gt;=参数配置!$C$14,-H78,C78-H78),"")</f>
        <v/>
      </c>
      <c r="J78" s="29">
        <f>IFERROR(IF(F78&gt;=参数配置!$C$14,"全仓清仓",IF(H78&gt;C78,"卖出超额","正常定投")),"")</f>
        <v/>
      </c>
      <c r="K78" s="30">
        <f>IFERROR(I78,"")</f>
        <v/>
      </c>
      <c r="L78" s="17" t="n"/>
      <c r="M78" s="27" t="n"/>
      <c r="N78" s="31">
        <f>IFERROR(G78+M78,"")</f>
        <v/>
      </c>
      <c r="O78" s="7">
        <f>IFERROR(O77+L78,"")</f>
        <v/>
      </c>
      <c r="P78" s="7">
        <f>IFERROR(-L78,"")</f>
        <v/>
      </c>
      <c r="Q78" s="32" t="n"/>
    </row>
    <row r="79">
      <c r="A79" s="33" t="n"/>
      <c r="B79" s="15" t="n"/>
      <c r="C79" s="7">
        <f>IFERROR(参数配置!$C$7*(B79-$S$3),"")</f>
        <v/>
      </c>
      <c r="D79" s="27" t="n"/>
      <c r="E79" s="27" t="n"/>
      <c r="F79" s="28">
        <f>IFERROR((D79-E79)/E79,"")</f>
        <v/>
      </c>
      <c r="G79" s="27" t="n"/>
      <c r="H79" s="7">
        <f>IFERROR(G79*D79,"")</f>
        <v/>
      </c>
      <c r="I79" s="7">
        <f>IFERROR(IF(F79&gt;=参数配置!$C$14,-H79,C79-H79),"")</f>
        <v/>
      </c>
      <c r="J79" s="29">
        <f>IFERROR(IF(F79&gt;=参数配置!$C$14,"全仓清仓",IF(H79&gt;C79,"卖出超额","正常定投")),"")</f>
        <v/>
      </c>
      <c r="K79" s="30">
        <f>IFERROR(I79,"")</f>
        <v/>
      </c>
      <c r="L79" s="17" t="n"/>
      <c r="M79" s="27" t="n"/>
      <c r="N79" s="31">
        <f>IFERROR(G79+M79,"")</f>
        <v/>
      </c>
      <c r="O79" s="7">
        <f>IFERROR(O78+L79,"")</f>
        <v/>
      </c>
      <c r="P79" s="7">
        <f>IFERROR(-L79,"")</f>
        <v/>
      </c>
      <c r="Q79" s="32" t="n"/>
    </row>
    <row r="80">
      <c r="A80" s="33" t="n"/>
      <c r="B80" s="15" t="n"/>
      <c r="C80" s="7">
        <f>IFERROR(参数配置!$C$7*(B80-$S$3),"")</f>
        <v/>
      </c>
      <c r="D80" s="27" t="n"/>
      <c r="E80" s="27" t="n"/>
      <c r="F80" s="28">
        <f>IFERROR((D80-E80)/E80,"")</f>
        <v/>
      </c>
      <c r="G80" s="27" t="n"/>
      <c r="H80" s="7">
        <f>IFERROR(G80*D80,"")</f>
        <v/>
      </c>
      <c r="I80" s="7">
        <f>IFERROR(IF(F80&gt;=参数配置!$C$14,-H80,C80-H80),"")</f>
        <v/>
      </c>
      <c r="J80" s="29">
        <f>IFERROR(IF(F80&gt;=参数配置!$C$14,"全仓清仓",IF(H80&gt;C80,"卖出超额","正常定投")),"")</f>
        <v/>
      </c>
      <c r="K80" s="30">
        <f>IFERROR(I80,"")</f>
        <v/>
      </c>
      <c r="L80" s="17" t="n"/>
      <c r="M80" s="27" t="n"/>
      <c r="N80" s="31">
        <f>IFERROR(G80+M80,"")</f>
        <v/>
      </c>
      <c r="O80" s="7">
        <f>IFERROR(O79+L80,"")</f>
        <v/>
      </c>
      <c r="P80" s="7">
        <f>IFERROR(-L80,"")</f>
        <v/>
      </c>
      <c r="Q80" s="32" t="n"/>
    </row>
    <row r="81">
      <c r="A81" s="33" t="n"/>
      <c r="B81" s="15" t="n"/>
      <c r="C81" s="7">
        <f>IFERROR(参数配置!$C$7*(B81-$S$3),"")</f>
        <v/>
      </c>
      <c r="D81" s="27" t="n"/>
      <c r="E81" s="27" t="n"/>
      <c r="F81" s="28">
        <f>IFERROR((D81-E81)/E81,"")</f>
        <v/>
      </c>
      <c r="G81" s="27" t="n"/>
      <c r="H81" s="7">
        <f>IFERROR(G81*D81,"")</f>
        <v/>
      </c>
      <c r="I81" s="7">
        <f>IFERROR(IF(F81&gt;=参数配置!$C$14,-H81,C81-H81),"")</f>
        <v/>
      </c>
      <c r="J81" s="29">
        <f>IFERROR(IF(F81&gt;=参数配置!$C$14,"全仓清仓",IF(H81&gt;C81,"卖出超额","正常定投")),"")</f>
        <v/>
      </c>
      <c r="K81" s="30">
        <f>IFERROR(I81,"")</f>
        <v/>
      </c>
      <c r="L81" s="17" t="n"/>
      <c r="M81" s="27" t="n"/>
      <c r="N81" s="31">
        <f>IFERROR(G81+M81,"")</f>
        <v/>
      </c>
      <c r="O81" s="7">
        <f>IFERROR(O80+L81,"")</f>
        <v/>
      </c>
      <c r="P81" s="7">
        <f>IFERROR(-L81,"")</f>
        <v/>
      </c>
      <c r="Q81" s="32" t="n"/>
    </row>
    <row r="82">
      <c r="A82" s="33" t="n"/>
      <c r="B82" s="15" t="n"/>
      <c r="C82" s="7">
        <f>IFERROR(参数配置!$C$7*(B82-$S$3),"")</f>
        <v/>
      </c>
      <c r="D82" s="27" t="n"/>
      <c r="E82" s="27" t="n"/>
      <c r="F82" s="28">
        <f>IFERROR((D82-E82)/E82,"")</f>
        <v/>
      </c>
      <c r="G82" s="27" t="n"/>
      <c r="H82" s="7">
        <f>IFERROR(G82*D82,"")</f>
        <v/>
      </c>
      <c r="I82" s="7">
        <f>IFERROR(IF(F82&gt;=参数配置!$C$14,-H82,C82-H82),"")</f>
        <v/>
      </c>
      <c r="J82" s="29">
        <f>IFERROR(IF(F82&gt;=参数配置!$C$14,"全仓清仓",IF(H82&gt;C82,"卖出超额","正常定投")),"")</f>
        <v/>
      </c>
      <c r="K82" s="30">
        <f>IFERROR(I82,"")</f>
        <v/>
      </c>
      <c r="L82" s="17" t="n"/>
      <c r="M82" s="27" t="n"/>
      <c r="N82" s="31">
        <f>IFERROR(G82+M82,"")</f>
        <v/>
      </c>
      <c r="O82" s="7">
        <f>IFERROR(O81+L82,"")</f>
        <v/>
      </c>
      <c r="P82" s="7">
        <f>IFERROR(-L82,"")</f>
        <v/>
      </c>
      <c r="Q82" s="32" t="n"/>
    </row>
    <row r="83">
      <c r="A83" s="33" t="n"/>
      <c r="B83" s="15" t="n"/>
      <c r="C83" s="7">
        <f>IFERROR(参数配置!$C$7*(B83-$S$3),"")</f>
        <v/>
      </c>
      <c r="D83" s="27" t="n"/>
      <c r="E83" s="27" t="n"/>
      <c r="F83" s="28">
        <f>IFERROR((D83-E83)/E83,"")</f>
        <v/>
      </c>
      <c r="G83" s="27" t="n"/>
      <c r="H83" s="7">
        <f>IFERROR(G83*D83,"")</f>
        <v/>
      </c>
      <c r="I83" s="7">
        <f>IFERROR(IF(F83&gt;=参数配置!$C$14,-H83,C83-H83),"")</f>
        <v/>
      </c>
      <c r="J83" s="29">
        <f>IFERROR(IF(F83&gt;=参数配置!$C$14,"全仓清仓",IF(H83&gt;C83,"卖出超额","正常定投")),"")</f>
        <v/>
      </c>
      <c r="K83" s="30">
        <f>IFERROR(I83,"")</f>
        <v/>
      </c>
      <c r="L83" s="17" t="n"/>
      <c r="M83" s="27" t="n"/>
      <c r="N83" s="31">
        <f>IFERROR(G83+M83,"")</f>
        <v/>
      </c>
      <c r="O83" s="7">
        <f>IFERROR(O82+L83,"")</f>
        <v/>
      </c>
      <c r="P83" s="7">
        <f>IFERROR(-L83,"")</f>
        <v/>
      </c>
      <c r="Q83" s="32" t="n"/>
    </row>
    <row r="84">
      <c r="A84" s="33" t="n"/>
      <c r="B84" s="15" t="n"/>
      <c r="C84" s="7">
        <f>IFERROR(参数配置!$C$7*(B84-$S$3),"")</f>
        <v/>
      </c>
      <c r="D84" s="27" t="n"/>
      <c r="E84" s="27" t="n"/>
      <c r="F84" s="28">
        <f>IFERROR((D84-E84)/E84,"")</f>
        <v/>
      </c>
      <c r="G84" s="27" t="n"/>
      <c r="H84" s="7">
        <f>IFERROR(G84*D84,"")</f>
        <v/>
      </c>
      <c r="I84" s="7">
        <f>IFERROR(IF(F84&gt;=参数配置!$C$14,-H84,C84-H84),"")</f>
        <v/>
      </c>
      <c r="J84" s="29">
        <f>IFERROR(IF(F84&gt;=参数配置!$C$14,"全仓清仓",IF(H84&gt;C84,"卖出超额","正常定投")),"")</f>
        <v/>
      </c>
      <c r="K84" s="30">
        <f>IFERROR(I84,"")</f>
        <v/>
      </c>
      <c r="L84" s="17" t="n"/>
      <c r="M84" s="27" t="n"/>
      <c r="N84" s="31">
        <f>IFERROR(G84+M84,"")</f>
        <v/>
      </c>
      <c r="O84" s="7">
        <f>IFERROR(O83+L84,"")</f>
        <v/>
      </c>
      <c r="P84" s="7">
        <f>IFERROR(-L84,"")</f>
        <v/>
      </c>
      <c r="Q84" s="32" t="n"/>
    </row>
    <row r="85">
      <c r="A85" s="33" t="n"/>
      <c r="B85" s="15" t="n"/>
      <c r="C85" s="7">
        <f>IFERROR(参数配置!$C$7*(B85-$S$3),"")</f>
        <v/>
      </c>
      <c r="D85" s="27" t="n"/>
      <c r="E85" s="27" t="n"/>
      <c r="F85" s="28">
        <f>IFERROR((D85-E85)/E85,"")</f>
        <v/>
      </c>
      <c r="G85" s="27" t="n"/>
      <c r="H85" s="7">
        <f>IFERROR(G85*D85,"")</f>
        <v/>
      </c>
      <c r="I85" s="7">
        <f>IFERROR(IF(F85&gt;=参数配置!$C$14,-H85,C85-H85),"")</f>
        <v/>
      </c>
      <c r="J85" s="29">
        <f>IFERROR(IF(F85&gt;=参数配置!$C$14,"全仓清仓",IF(H85&gt;C85,"卖出超额","正常定投")),"")</f>
        <v/>
      </c>
      <c r="K85" s="30">
        <f>IFERROR(I85,"")</f>
        <v/>
      </c>
      <c r="L85" s="17" t="n"/>
      <c r="M85" s="27" t="n"/>
      <c r="N85" s="31">
        <f>IFERROR(G85+M85,"")</f>
        <v/>
      </c>
      <c r="O85" s="7">
        <f>IFERROR(O84+L85,"")</f>
        <v/>
      </c>
      <c r="P85" s="7">
        <f>IFERROR(-L85,"")</f>
        <v/>
      </c>
      <c r="Q85" s="32" t="n"/>
    </row>
    <row r="86">
      <c r="A86" s="33" t="n"/>
      <c r="B86" s="15" t="n"/>
      <c r="C86" s="7">
        <f>IFERROR(参数配置!$C$7*(B86-$S$3),"")</f>
        <v/>
      </c>
      <c r="D86" s="27" t="n"/>
      <c r="E86" s="27" t="n"/>
      <c r="F86" s="28">
        <f>IFERROR((D86-E86)/E86,"")</f>
        <v/>
      </c>
      <c r="G86" s="27" t="n"/>
      <c r="H86" s="7">
        <f>IFERROR(G86*D86,"")</f>
        <v/>
      </c>
      <c r="I86" s="7">
        <f>IFERROR(IF(F86&gt;=参数配置!$C$14,-H86,C86-H86),"")</f>
        <v/>
      </c>
      <c r="J86" s="29">
        <f>IFERROR(IF(F86&gt;=参数配置!$C$14,"全仓清仓",IF(H86&gt;C86,"卖出超额","正常定投")),"")</f>
        <v/>
      </c>
      <c r="K86" s="30">
        <f>IFERROR(I86,"")</f>
        <v/>
      </c>
      <c r="L86" s="17" t="n"/>
      <c r="M86" s="27" t="n"/>
      <c r="N86" s="31">
        <f>IFERROR(G86+M86,"")</f>
        <v/>
      </c>
      <c r="O86" s="7">
        <f>IFERROR(O85+L86,"")</f>
        <v/>
      </c>
      <c r="P86" s="7">
        <f>IFERROR(-L86,"")</f>
        <v/>
      </c>
      <c r="Q86" s="32" t="n"/>
    </row>
    <row r="87">
      <c r="A87" s="33" t="n"/>
      <c r="B87" s="15" t="n"/>
      <c r="C87" s="7">
        <f>IFERROR(参数配置!$C$7*(B87-$S$3),"")</f>
        <v/>
      </c>
      <c r="D87" s="27" t="n"/>
      <c r="E87" s="27" t="n"/>
      <c r="F87" s="28">
        <f>IFERROR((D87-E87)/E87,"")</f>
        <v/>
      </c>
      <c r="G87" s="27" t="n"/>
      <c r="H87" s="7">
        <f>IFERROR(G87*D87,"")</f>
        <v/>
      </c>
      <c r="I87" s="7">
        <f>IFERROR(IF(F87&gt;=参数配置!$C$14,-H87,C87-H87),"")</f>
        <v/>
      </c>
      <c r="J87" s="29">
        <f>IFERROR(IF(F87&gt;=参数配置!$C$14,"全仓清仓",IF(H87&gt;C87,"卖出超额","正常定投")),"")</f>
        <v/>
      </c>
      <c r="K87" s="30">
        <f>IFERROR(I87,"")</f>
        <v/>
      </c>
      <c r="L87" s="17" t="n"/>
      <c r="M87" s="27" t="n"/>
      <c r="N87" s="31">
        <f>IFERROR(G87+M87,"")</f>
        <v/>
      </c>
      <c r="O87" s="7">
        <f>IFERROR(O86+L87,"")</f>
        <v/>
      </c>
      <c r="P87" s="7">
        <f>IFERROR(-L87,"")</f>
        <v/>
      </c>
      <c r="Q87" s="32" t="n"/>
    </row>
    <row r="88">
      <c r="A88" s="33" t="n"/>
      <c r="B88" s="15" t="n"/>
      <c r="C88" s="7">
        <f>IFERROR(参数配置!$C$7*(B88-$S$3),"")</f>
        <v/>
      </c>
      <c r="D88" s="27" t="n"/>
      <c r="E88" s="27" t="n"/>
      <c r="F88" s="28">
        <f>IFERROR((D88-E88)/E88,"")</f>
        <v/>
      </c>
      <c r="G88" s="27" t="n"/>
      <c r="H88" s="7">
        <f>IFERROR(G88*D88,"")</f>
        <v/>
      </c>
      <c r="I88" s="7">
        <f>IFERROR(IF(F88&gt;=参数配置!$C$14,-H88,C88-H88),"")</f>
        <v/>
      </c>
      <c r="J88" s="29">
        <f>IFERROR(IF(F88&gt;=参数配置!$C$14,"全仓清仓",IF(H88&gt;C88,"卖出超额","正常定投")),"")</f>
        <v/>
      </c>
      <c r="K88" s="30">
        <f>IFERROR(I88,"")</f>
        <v/>
      </c>
      <c r="L88" s="17" t="n"/>
      <c r="M88" s="27" t="n"/>
      <c r="N88" s="31">
        <f>IFERROR(G88+M88,"")</f>
        <v/>
      </c>
      <c r="O88" s="7">
        <f>IFERROR(O87+L88,"")</f>
        <v/>
      </c>
      <c r="P88" s="7">
        <f>IFERROR(-L88,"")</f>
        <v/>
      </c>
      <c r="Q88" s="32" t="n"/>
    </row>
    <row r="89">
      <c r="A89" s="33" t="n"/>
      <c r="B89" s="15" t="n"/>
      <c r="C89" s="7">
        <f>IFERROR(参数配置!$C$7*(B89-$S$3),"")</f>
        <v/>
      </c>
      <c r="D89" s="27" t="n"/>
      <c r="E89" s="27" t="n"/>
      <c r="F89" s="28">
        <f>IFERROR((D89-E89)/E89,"")</f>
        <v/>
      </c>
      <c r="G89" s="27" t="n"/>
      <c r="H89" s="7">
        <f>IFERROR(G89*D89,"")</f>
        <v/>
      </c>
      <c r="I89" s="7">
        <f>IFERROR(IF(F89&gt;=参数配置!$C$14,-H89,C89-H89),"")</f>
        <v/>
      </c>
      <c r="J89" s="29">
        <f>IFERROR(IF(F89&gt;=参数配置!$C$14,"全仓清仓",IF(H89&gt;C89,"卖出超额","正常定投")),"")</f>
        <v/>
      </c>
      <c r="K89" s="30">
        <f>IFERROR(I89,"")</f>
        <v/>
      </c>
      <c r="L89" s="17" t="n"/>
      <c r="M89" s="27" t="n"/>
      <c r="N89" s="31">
        <f>IFERROR(G89+M89,"")</f>
        <v/>
      </c>
      <c r="O89" s="7">
        <f>IFERROR(O88+L89,"")</f>
        <v/>
      </c>
      <c r="P89" s="7">
        <f>IFERROR(-L89,"")</f>
        <v/>
      </c>
      <c r="Q89" s="32" t="n"/>
    </row>
    <row r="90">
      <c r="A90" s="33" t="n"/>
      <c r="B90" s="15" t="n"/>
      <c r="C90" s="7">
        <f>IFERROR(参数配置!$C$7*(B90-$S$3),"")</f>
        <v/>
      </c>
      <c r="D90" s="27" t="n"/>
      <c r="E90" s="27" t="n"/>
      <c r="F90" s="28">
        <f>IFERROR((D90-E90)/E90,"")</f>
        <v/>
      </c>
      <c r="G90" s="27" t="n"/>
      <c r="H90" s="7">
        <f>IFERROR(G90*D90,"")</f>
        <v/>
      </c>
      <c r="I90" s="7">
        <f>IFERROR(IF(F90&gt;=参数配置!$C$14,-H90,C90-H90),"")</f>
        <v/>
      </c>
      <c r="J90" s="29">
        <f>IFERROR(IF(F90&gt;=参数配置!$C$14,"全仓清仓",IF(H90&gt;C90,"卖出超额","正常定投")),"")</f>
        <v/>
      </c>
      <c r="K90" s="30">
        <f>IFERROR(I90,"")</f>
        <v/>
      </c>
      <c r="L90" s="17" t="n"/>
      <c r="M90" s="27" t="n"/>
      <c r="N90" s="31">
        <f>IFERROR(G90+M90,"")</f>
        <v/>
      </c>
      <c r="O90" s="7">
        <f>IFERROR(O89+L90,"")</f>
        <v/>
      </c>
      <c r="P90" s="7">
        <f>IFERROR(-L90,"")</f>
        <v/>
      </c>
      <c r="Q90" s="32" t="n"/>
    </row>
    <row r="91">
      <c r="A91" s="33" t="n"/>
      <c r="B91" s="15" t="n"/>
      <c r="C91" s="7">
        <f>IFERROR(参数配置!$C$7*(B91-$S$3),"")</f>
        <v/>
      </c>
      <c r="D91" s="27" t="n"/>
      <c r="E91" s="27" t="n"/>
      <c r="F91" s="28">
        <f>IFERROR((D91-E91)/E91,"")</f>
        <v/>
      </c>
      <c r="G91" s="27" t="n"/>
      <c r="H91" s="7">
        <f>IFERROR(G91*D91,"")</f>
        <v/>
      </c>
      <c r="I91" s="7">
        <f>IFERROR(IF(F91&gt;=参数配置!$C$14,-H91,C91-H91),"")</f>
        <v/>
      </c>
      <c r="J91" s="29">
        <f>IFERROR(IF(F91&gt;=参数配置!$C$14,"全仓清仓",IF(H91&gt;C91,"卖出超额","正常定投")),"")</f>
        <v/>
      </c>
      <c r="K91" s="30">
        <f>IFERROR(I91,"")</f>
        <v/>
      </c>
      <c r="L91" s="17" t="n"/>
      <c r="M91" s="27" t="n"/>
      <c r="N91" s="31">
        <f>IFERROR(G91+M91,"")</f>
        <v/>
      </c>
      <c r="O91" s="7">
        <f>IFERROR(O90+L91,"")</f>
        <v/>
      </c>
      <c r="P91" s="7">
        <f>IFERROR(-L91,"")</f>
        <v/>
      </c>
      <c r="Q91" s="32" t="n"/>
    </row>
    <row r="92">
      <c r="A92" s="33" t="n"/>
      <c r="B92" s="15" t="n"/>
      <c r="C92" s="7">
        <f>IFERROR(参数配置!$C$7*(B92-$S$3),"")</f>
        <v/>
      </c>
      <c r="D92" s="27" t="n"/>
      <c r="E92" s="27" t="n"/>
      <c r="F92" s="28">
        <f>IFERROR((D92-E92)/E92,"")</f>
        <v/>
      </c>
      <c r="G92" s="27" t="n"/>
      <c r="H92" s="7">
        <f>IFERROR(G92*D92,"")</f>
        <v/>
      </c>
      <c r="I92" s="7">
        <f>IFERROR(IF(F92&gt;=参数配置!$C$14,-H92,C92-H92),"")</f>
        <v/>
      </c>
      <c r="J92" s="29">
        <f>IFERROR(IF(F92&gt;=参数配置!$C$14,"全仓清仓",IF(H92&gt;C92,"卖出超额","正常定投")),"")</f>
        <v/>
      </c>
      <c r="K92" s="30">
        <f>IFERROR(I92,"")</f>
        <v/>
      </c>
      <c r="L92" s="17" t="n"/>
      <c r="M92" s="27" t="n"/>
      <c r="N92" s="31">
        <f>IFERROR(G92+M92,"")</f>
        <v/>
      </c>
      <c r="O92" s="7">
        <f>IFERROR(O91+L92,"")</f>
        <v/>
      </c>
      <c r="P92" s="7">
        <f>IFERROR(-L92,"")</f>
        <v/>
      </c>
      <c r="Q92" s="32" t="n"/>
    </row>
    <row r="93">
      <c r="A93" s="33" t="n"/>
      <c r="B93" s="15" t="n"/>
      <c r="C93" s="7">
        <f>IFERROR(参数配置!$C$7*(B93-$S$3),"")</f>
        <v/>
      </c>
      <c r="D93" s="27" t="n"/>
      <c r="E93" s="27" t="n"/>
      <c r="F93" s="28">
        <f>IFERROR((D93-E93)/E93,"")</f>
        <v/>
      </c>
      <c r="G93" s="27" t="n"/>
      <c r="H93" s="7">
        <f>IFERROR(G93*D93,"")</f>
        <v/>
      </c>
      <c r="I93" s="7">
        <f>IFERROR(IF(F93&gt;=参数配置!$C$14,-H93,C93-H93),"")</f>
        <v/>
      </c>
      <c r="J93" s="29">
        <f>IFERROR(IF(F93&gt;=参数配置!$C$14,"全仓清仓",IF(H93&gt;C93,"卖出超额","正常定投")),"")</f>
        <v/>
      </c>
      <c r="K93" s="30">
        <f>IFERROR(I93,"")</f>
        <v/>
      </c>
      <c r="L93" s="17" t="n"/>
      <c r="M93" s="27" t="n"/>
      <c r="N93" s="31">
        <f>IFERROR(G93+M93,"")</f>
        <v/>
      </c>
      <c r="O93" s="7">
        <f>IFERROR(O92+L93,"")</f>
        <v/>
      </c>
      <c r="P93" s="7">
        <f>IFERROR(-L93,"")</f>
        <v/>
      </c>
      <c r="Q93" s="32" t="n"/>
    </row>
    <row r="94">
      <c r="A94" s="33" t="n"/>
      <c r="B94" s="15" t="n"/>
      <c r="C94" s="7">
        <f>IFERROR(参数配置!$C$7*(B94-$S$3),"")</f>
        <v/>
      </c>
      <c r="D94" s="27" t="n"/>
      <c r="E94" s="27" t="n"/>
      <c r="F94" s="28">
        <f>IFERROR((D94-E94)/E94,"")</f>
        <v/>
      </c>
      <c r="G94" s="27" t="n"/>
      <c r="H94" s="7">
        <f>IFERROR(G94*D94,"")</f>
        <v/>
      </c>
      <c r="I94" s="7">
        <f>IFERROR(IF(F94&gt;=参数配置!$C$14,-H94,C94-H94),"")</f>
        <v/>
      </c>
      <c r="J94" s="29">
        <f>IFERROR(IF(F94&gt;=参数配置!$C$14,"全仓清仓",IF(H94&gt;C94,"卖出超额","正常定投")),"")</f>
        <v/>
      </c>
      <c r="K94" s="30">
        <f>IFERROR(I94,"")</f>
        <v/>
      </c>
      <c r="L94" s="17" t="n"/>
      <c r="M94" s="27" t="n"/>
      <c r="N94" s="31">
        <f>IFERROR(G94+M94,"")</f>
        <v/>
      </c>
      <c r="O94" s="7">
        <f>IFERROR(O93+L94,"")</f>
        <v/>
      </c>
      <c r="P94" s="7">
        <f>IFERROR(-L94,"")</f>
        <v/>
      </c>
      <c r="Q94" s="32" t="n"/>
    </row>
    <row r="95">
      <c r="A95" s="33" t="n"/>
      <c r="B95" s="15" t="n"/>
      <c r="C95" s="7">
        <f>IFERROR(参数配置!$C$7*(B95-$S$3),"")</f>
        <v/>
      </c>
      <c r="D95" s="27" t="n"/>
      <c r="E95" s="27" t="n"/>
      <c r="F95" s="28">
        <f>IFERROR((D95-E95)/E95,"")</f>
        <v/>
      </c>
      <c r="G95" s="27" t="n"/>
      <c r="H95" s="7">
        <f>IFERROR(G95*D95,"")</f>
        <v/>
      </c>
      <c r="I95" s="7">
        <f>IFERROR(IF(F95&gt;=参数配置!$C$14,-H95,C95-H95),"")</f>
        <v/>
      </c>
      <c r="J95" s="29">
        <f>IFERROR(IF(F95&gt;=参数配置!$C$14,"全仓清仓",IF(H95&gt;C95,"卖出超额","正常定投")),"")</f>
        <v/>
      </c>
      <c r="K95" s="30">
        <f>IFERROR(I95,"")</f>
        <v/>
      </c>
      <c r="L95" s="17" t="n"/>
      <c r="M95" s="27" t="n"/>
      <c r="N95" s="31">
        <f>IFERROR(G95+M95,"")</f>
        <v/>
      </c>
      <c r="O95" s="7">
        <f>IFERROR(O94+L95,"")</f>
        <v/>
      </c>
      <c r="P95" s="7">
        <f>IFERROR(-L95,"")</f>
        <v/>
      </c>
      <c r="Q95" s="32" t="n"/>
    </row>
    <row r="96">
      <c r="A96" s="33" t="n"/>
      <c r="B96" s="15" t="n"/>
      <c r="C96" s="7">
        <f>IFERROR(参数配置!$C$7*(B96-$S$3),"")</f>
        <v/>
      </c>
      <c r="D96" s="27" t="n"/>
      <c r="E96" s="27" t="n"/>
      <c r="F96" s="28">
        <f>IFERROR((D96-E96)/E96,"")</f>
        <v/>
      </c>
      <c r="G96" s="27" t="n"/>
      <c r="H96" s="7">
        <f>IFERROR(G96*D96,"")</f>
        <v/>
      </c>
      <c r="I96" s="7">
        <f>IFERROR(IF(F96&gt;=参数配置!$C$14,-H96,C96-H96),"")</f>
        <v/>
      </c>
      <c r="J96" s="29">
        <f>IFERROR(IF(F96&gt;=参数配置!$C$14,"全仓清仓",IF(H96&gt;C96,"卖出超额","正常定投")),"")</f>
        <v/>
      </c>
      <c r="K96" s="30">
        <f>IFERROR(I96,"")</f>
        <v/>
      </c>
      <c r="L96" s="17" t="n"/>
      <c r="M96" s="27" t="n"/>
      <c r="N96" s="31">
        <f>IFERROR(G96+M96,"")</f>
        <v/>
      </c>
      <c r="O96" s="7">
        <f>IFERROR(O95+L96,"")</f>
        <v/>
      </c>
      <c r="P96" s="7">
        <f>IFERROR(-L96,"")</f>
        <v/>
      </c>
      <c r="Q96" s="32" t="n"/>
    </row>
    <row r="97">
      <c r="A97" s="33" t="n"/>
      <c r="B97" s="15" t="n"/>
      <c r="C97" s="7">
        <f>IFERROR(参数配置!$C$7*(B97-$S$3),"")</f>
        <v/>
      </c>
      <c r="D97" s="27" t="n"/>
      <c r="E97" s="27" t="n"/>
      <c r="F97" s="28">
        <f>IFERROR((D97-E97)/E97,"")</f>
        <v/>
      </c>
      <c r="G97" s="27" t="n"/>
      <c r="H97" s="7">
        <f>IFERROR(G97*D97,"")</f>
        <v/>
      </c>
      <c r="I97" s="7">
        <f>IFERROR(IF(F97&gt;=参数配置!$C$14,-H97,C97-H97),"")</f>
        <v/>
      </c>
      <c r="J97" s="29">
        <f>IFERROR(IF(F97&gt;=参数配置!$C$14,"全仓清仓",IF(H97&gt;C97,"卖出超额","正常定投")),"")</f>
        <v/>
      </c>
      <c r="K97" s="30">
        <f>IFERROR(I97,"")</f>
        <v/>
      </c>
      <c r="L97" s="17" t="n"/>
      <c r="M97" s="27" t="n"/>
      <c r="N97" s="31">
        <f>IFERROR(G97+M97,"")</f>
        <v/>
      </c>
      <c r="O97" s="7">
        <f>IFERROR(O96+L97,"")</f>
        <v/>
      </c>
      <c r="P97" s="7">
        <f>IFERROR(-L97,"")</f>
        <v/>
      </c>
      <c r="Q97" s="32" t="n"/>
    </row>
    <row r="98">
      <c r="A98" s="33" t="n"/>
      <c r="B98" s="15" t="n"/>
      <c r="C98" s="7">
        <f>IFERROR(参数配置!$C$7*(B98-$S$3),"")</f>
        <v/>
      </c>
      <c r="D98" s="27" t="n"/>
      <c r="E98" s="27" t="n"/>
      <c r="F98" s="28">
        <f>IFERROR((D98-E98)/E98,"")</f>
        <v/>
      </c>
      <c r="G98" s="27" t="n"/>
      <c r="H98" s="7">
        <f>IFERROR(G98*D98,"")</f>
        <v/>
      </c>
      <c r="I98" s="7">
        <f>IFERROR(IF(F98&gt;=参数配置!$C$14,-H98,C98-H98),"")</f>
        <v/>
      </c>
      <c r="J98" s="29">
        <f>IFERROR(IF(F98&gt;=参数配置!$C$14,"全仓清仓",IF(H98&gt;C98,"卖出超额","正常定投")),"")</f>
        <v/>
      </c>
      <c r="K98" s="30">
        <f>IFERROR(I98,"")</f>
        <v/>
      </c>
      <c r="L98" s="17" t="n"/>
      <c r="M98" s="27" t="n"/>
      <c r="N98" s="31">
        <f>IFERROR(G98+M98,"")</f>
        <v/>
      </c>
      <c r="O98" s="7">
        <f>IFERROR(O97+L98,"")</f>
        <v/>
      </c>
      <c r="P98" s="7">
        <f>IFERROR(-L98,"")</f>
        <v/>
      </c>
      <c r="Q98" s="32" t="n"/>
    </row>
    <row r="99">
      <c r="A99" s="33" t="n"/>
      <c r="B99" s="15" t="n"/>
      <c r="C99" s="7">
        <f>IFERROR(参数配置!$C$7*(B99-$S$3),"")</f>
        <v/>
      </c>
      <c r="D99" s="27" t="n"/>
      <c r="E99" s="27" t="n"/>
      <c r="F99" s="28">
        <f>IFERROR((D99-E99)/E99,"")</f>
        <v/>
      </c>
      <c r="G99" s="27" t="n"/>
      <c r="H99" s="7">
        <f>IFERROR(G99*D99,"")</f>
        <v/>
      </c>
      <c r="I99" s="7">
        <f>IFERROR(IF(F99&gt;=参数配置!$C$14,-H99,C99-H99),"")</f>
        <v/>
      </c>
      <c r="J99" s="29">
        <f>IFERROR(IF(F99&gt;=参数配置!$C$14,"全仓清仓",IF(H99&gt;C99,"卖出超额","正常定投")),"")</f>
        <v/>
      </c>
      <c r="K99" s="30">
        <f>IFERROR(I99,"")</f>
        <v/>
      </c>
      <c r="L99" s="17" t="n"/>
      <c r="M99" s="27" t="n"/>
      <c r="N99" s="31">
        <f>IFERROR(G99+M99,"")</f>
        <v/>
      </c>
      <c r="O99" s="7">
        <f>IFERROR(O98+L99,"")</f>
        <v/>
      </c>
      <c r="P99" s="7">
        <f>IFERROR(-L99,"")</f>
        <v/>
      </c>
      <c r="Q99" s="32" t="n"/>
    </row>
    <row r="100">
      <c r="A100" s="33" t="n"/>
      <c r="B100" s="15" t="n"/>
      <c r="C100" s="7">
        <f>IFERROR(参数配置!$C$7*(B100-$S$3),"")</f>
        <v/>
      </c>
      <c r="D100" s="27" t="n"/>
      <c r="E100" s="27" t="n"/>
      <c r="F100" s="28">
        <f>IFERROR((D100-E100)/E100,"")</f>
        <v/>
      </c>
      <c r="G100" s="27" t="n"/>
      <c r="H100" s="7">
        <f>IFERROR(G100*D100,"")</f>
        <v/>
      </c>
      <c r="I100" s="7">
        <f>IFERROR(IF(F100&gt;=参数配置!$C$14,-H100,C100-H100),"")</f>
        <v/>
      </c>
      <c r="J100" s="29">
        <f>IFERROR(IF(F100&gt;=参数配置!$C$14,"全仓清仓",IF(H100&gt;C100,"卖出超额","正常定投")),"")</f>
        <v/>
      </c>
      <c r="K100" s="30">
        <f>IFERROR(I100,"")</f>
        <v/>
      </c>
      <c r="L100" s="17" t="n"/>
      <c r="M100" s="27" t="n"/>
      <c r="N100" s="31">
        <f>IFERROR(G100+M100,"")</f>
        <v/>
      </c>
      <c r="O100" s="7">
        <f>IFERROR(O99+L100,"")</f>
        <v/>
      </c>
      <c r="P100" s="7">
        <f>IFERROR(-L100,"")</f>
        <v/>
      </c>
      <c r="Q100" s="32" t="n"/>
    </row>
    <row r="101">
      <c r="A101" s="33" t="n"/>
      <c r="B101" s="15" t="n"/>
      <c r="C101" s="7">
        <f>IFERROR(参数配置!$C$7*(B101-$S$3),"")</f>
        <v/>
      </c>
      <c r="D101" s="27" t="n"/>
      <c r="E101" s="27" t="n"/>
      <c r="F101" s="28">
        <f>IFERROR((D101-E101)/E101,"")</f>
        <v/>
      </c>
      <c r="G101" s="27" t="n"/>
      <c r="H101" s="7">
        <f>IFERROR(G101*D101,"")</f>
        <v/>
      </c>
      <c r="I101" s="7">
        <f>IFERROR(IF(F101&gt;=参数配置!$C$14,-H101,C101-H101),"")</f>
        <v/>
      </c>
      <c r="J101" s="29">
        <f>IFERROR(IF(F101&gt;=参数配置!$C$14,"全仓清仓",IF(H101&gt;C101,"卖出超额","正常定投")),"")</f>
        <v/>
      </c>
      <c r="K101" s="30">
        <f>IFERROR(I101,"")</f>
        <v/>
      </c>
      <c r="L101" s="17" t="n"/>
      <c r="M101" s="27" t="n"/>
      <c r="N101" s="31">
        <f>IFERROR(G101+M101,"")</f>
        <v/>
      </c>
      <c r="O101" s="7">
        <f>IFERROR(O100+L101,"")</f>
        <v/>
      </c>
      <c r="P101" s="7">
        <f>IFERROR(-L101,"")</f>
        <v/>
      </c>
      <c r="Q101" s="32" t="n"/>
    </row>
    <row r="102">
      <c r="A102" s="33" t="n"/>
      <c r="B102" s="15" t="n"/>
      <c r="C102" s="7">
        <f>IFERROR(参数配置!$C$7*(B102-$S$3),"")</f>
        <v/>
      </c>
      <c r="D102" s="27" t="n"/>
      <c r="E102" s="27" t="n"/>
      <c r="F102" s="28">
        <f>IFERROR((D102-E102)/E102,"")</f>
        <v/>
      </c>
      <c r="G102" s="27" t="n"/>
      <c r="H102" s="7">
        <f>IFERROR(G102*D102,"")</f>
        <v/>
      </c>
      <c r="I102" s="7">
        <f>IFERROR(IF(F102&gt;=参数配置!$C$14,-H102,C102-H102),"")</f>
        <v/>
      </c>
      <c r="J102" s="29">
        <f>IFERROR(IF(F102&gt;=参数配置!$C$14,"全仓清仓",IF(H102&gt;C102,"卖出超额","正常定投")),"")</f>
        <v/>
      </c>
      <c r="K102" s="30">
        <f>IFERROR(I102,"")</f>
        <v/>
      </c>
      <c r="L102" s="17" t="n"/>
      <c r="M102" s="27" t="n"/>
      <c r="N102" s="31">
        <f>IFERROR(G102+M102,"")</f>
        <v/>
      </c>
      <c r="O102" s="7">
        <f>IFERROR(O101+L102,"")</f>
        <v/>
      </c>
      <c r="P102" s="7">
        <f>IFERROR(-L102,"")</f>
        <v/>
      </c>
      <c r="Q102" s="32" t="n"/>
    </row>
    <row r="103">
      <c r="A103" s="33" t="n"/>
      <c r="B103" s="15" t="n"/>
      <c r="C103" s="7">
        <f>IFERROR(参数配置!$C$7*(B103-$S$3),"")</f>
        <v/>
      </c>
      <c r="D103" s="27" t="n"/>
      <c r="E103" s="27" t="n"/>
      <c r="F103" s="28">
        <f>IFERROR((D103-E103)/E103,"")</f>
        <v/>
      </c>
      <c r="G103" s="27" t="n"/>
      <c r="H103" s="7">
        <f>IFERROR(G103*D103,"")</f>
        <v/>
      </c>
      <c r="I103" s="7">
        <f>IFERROR(IF(F103&gt;=参数配置!$C$14,-H103,C103-H103),"")</f>
        <v/>
      </c>
      <c r="J103" s="29">
        <f>IFERROR(IF(F103&gt;=参数配置!$C$14,"全仓清仓",IF(H103&gt;C103,"卖出超额","正常定投")),"")</f>
        <v/>
      </c>
      <c r="K103" s="30">
        <f>IFERROR(I103,"")</f>
        <v/>
      </c>
      <c r="L103" s="17" t="n"/>
      <c r="M103" s="27" t="n"/>
      <c r="N103" s="31">
        <f>IFERROR(G103+M103,"")</f>
        <v/>
      </c>
      <c r="O103" s="7">
        <f>IFERROR(O102+L103,"")</f>
        <v/>
      </c>
      <c r="P103" s="7">
        <f>IFERROR(-L103,"")</f>
        <v/>
      </c>
      <c r="Q103" s="32" t="n"/>
    </row>
    <row r="104">
      <c r="A104" s="33" t="n"/>
      <c r="B104" s="15" t="n"/>
      <c r="C104" s="7">
        <f>IFERROR(参数配置!$C$7*(B104-$S$3),"")</f>
        <v/>
      </c>
      <c r="D104" s="27" t="n"/>
      <c r="E104" s="27" t="n"/>
      <c r="F104" s="28">
        <f>IFERROR((D104-E104)/E104,"")</f>
        <v/>
      </c>
      <c r="G104" s="27" t="n"/>
      <c r="H104" s="7">
        <f>IFERROR(G104*D104,"")</f>
        <v/>
      </c>
      <c r="I104" s="7">
        <f>IFERROR(IF(F104&gt;=参数配置!$C$14,-H104,C104-H104),"")</f>
        <v/>
      </c>
      <c r="J104" s="29">
        <f>IFERROR(IF(F104&gt;=参数配置!$C$14,"全仓清仓",IF(H104&gt;C104,"卖出超额","正常定投")),"")</f>
        <v/>
      </c>
      <c r="K104" s="30">
        <f>IFERROR(I104,"")</f>
        <v/>
      </c>
      <c r="L104" s="17" t="n"/>
      <c r="M104" s="27" t="n"/>
      <c r="N104" s="31">
        <f>IFERROR(G104+M104,"")</f>
        <v/>
      </c>
      <c r="O104" s="7">
        <f>IFERROR(O103+L104,"")</f>
        <v/>
      </c>
      <c r="P104" s="7">
        <f>IFERROR(-L104,"")</f>
        <v/>
      </c>
      <c r="Q104" s="32" t="n"/>
    </row>
  </sheetData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4" customWidth="1" min="15" max="15"/>
    <col width="12" customWidth="1" min="16" max="16"/>
    <col width="30" customWidth="1" min="17" max="17"/>
  </cols>
  <sheetData>
    <row r="1">
      <c r="A1" s="14" t="inlineStr">
        <is>
          <t>纳指100 ETF — 定投追踪记录</t>
        </is>
      </c>
    </row>
    <row r="2">
      <c r="A2" s="2" t="inlineStr">
        <is>
          <t>黄色=手动填写  绿色=自动计算  蓝色=建议参考（可覆盖）</t>
        </is>
      </c>
    </row>
    <row r="3">
      <c r="A3" s="22" t="inlineStr">
        <is>
          <t>手动填写</t>
        </is>
      </c>
      <c r="B3" s="23" t="inlineStr">
        <is>
          <t>自动计算</t>
        </is>
      </c>
      <c r="C3" s="24" t="inlineStr">
        <is>
          <t>建议参考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25" t="inlineStr">
        <is>
          <t>期数偏移:</t>
        </is>
      </c>
      <c r="S3" s="26" t="n">
        <v>0</v>
      </c>
    </row>
    <row r="4" ht="32" customHeight="1">
      <c r="A4" s="4" t="inlineStr">
        <is>
          <t>日期</t>
        </is>
      </c>
      <c r="B4" s="4" t="inlineStr">
        <is>
          <t>期数</t>
        </is>
      </c>
      <c r="C4" s="4" t="inlineStr">
        <is>
          <t>目标市值</t>
        </is>
      </c>
      <c r="D4" s="4" t="inlineStr">
        <is>
          <t>当前价格</t>
        </is>
      </c>
      <c r="E4" s="4" t="inlineStr">
        <is>
          <t>250日均线</t>
        </is>
      </c>
      <c r="F4" s="4" t="inlineStr">
        <is>
          <t>均线偏离度</t>
        </is>
      </c>
      <c r="G4" s="4" t="inlineStr">
        <is>
          <t>持仓份额</t>
        </is>
      </c>
      <c r="H4" s="4" t="inlineStr">
        <is>
          <t>持仓市值</t>
        </is>
      </c>
      <c r="I4" s="4" t="inlineStr">
        <is>
          <t>建议操作金额</t>
        </is>
      </c>
      <c r="J4" s="4" t="inlineStr">
        <is>
          <t>建议操作</t>
        </is>
      </c>
      <c r="K4" s="4" t="inlineStr">
        <is>
          <t>建议金额</t>
        </is>
      </c>
      <c r="L4" s="4" t="inlineStr">
        <is>
          <t>实际操作(元)</t>
        </is>
      </c>
      <c r="M4" s="4" t="inlineStr">
        <is>
          <t>买卖份额</t>
        </is>
      </c>
      <c r="N4" s="4" t="inlineStr">
        <is>
          <t>操作后份额</t>
        </is>
      </c>
      <c r="O4" s="4" t="inlineStr">
        <is>
          <t>累计净投入</t>
        </is>
      </c>
      <c r="P4" s="4" t="inlineStr">
        <is>
          <t>储备金±</t>
        </is>
      </c>
      <c r="Q4" s="4" t="inlineStr">
        <is>
          <t>备注</t>
        </is>
      </c>
    </row>
    <row r="5">
      <c r="A5" s="33" t="inlineStr">
        <is>
          <t>2026-04-24</t>
        </is>
      </c>
      <c r="B5" s="15" t="n">
        <v>1</v>
      </c>
      <c r="C5" s="7">
        <f>IFERROR(参数配置!$C$8*(B5-$S$3),"")</f>
        <v/>
      </c>
      <c r="D5" s="27" t="n">
        <v>1.904</v>
      </c>
      <c r="E5" s="27" t="n">
        <v>1.7458</v>
      </c>
      <c r="F5" s="28">
        <f>IFERROR((D5-E5)/E5,"")</f>
        <v/>
      </c>
      <c r="G5" s="27" t="n">
        <v>0</v>
      </c>
      <c r="H5" s="7">
        <f>IFERROR(G5*D5,"")</f>
        <v/>
      </c>
      <c r="I5" s="7">
        <f>IFERROR(IF(F5&gt;=参数配置!$C$15,-H5,C5-H5),"")</f>
        <v/>
      </c>
      <c r="J5" s="29">
        <f>IFERROR(IF(F5&gt;=参数配置!$C$15,"全仓清仓",IF(H5&gt;C5,"卖出超额","正常定投")),"")</f>
        <v/>
      </c>
      <c r="K5" s="30">
        <f>IFERROR(I5,"")</f>
        <v/>
      </c>
      <c r="L5" s="17" t="n">
        <v>2284.8</v>
      </c>
      <c r="M5" s="27" t="n">
        <v>1200</v>
      </c>
      <c r="N5" s="31">
        <f>IFERROR(G5+M5,"")</f>
        <v/>
      </c>
      <c r="O5" s="7">
        <f>IFERROR(L5,"")</f>
        <v/>
      </c>
      <c r="P5" s="7">
        <f>IFERROR(-L5,"")</f>
        <v/>
      </c>
      <c r="Q5" s="32" t="n"/>
    </row>
    <row r="6">
      <c r="A6" s="33" t="inlineStr">
        <is>
          <t>2026-05-08</t>
        </is>
      </c>
      <c r="B6" s="15" t="n">
        <v>2</v>
      </c>
      <c r="C6" s="7">
        <f>IFERROR(参数配置!$C$8*(B6-$S$3),"")</f>
        <v/>
      </c>
      <c r="D6" s="27" t="n">
        <v>2.046</v>
      </c>
      <c r="E6" s="27" t="n">
        <v>1.7612</v>
      </c>
      <c r="F6" s="28">
        <f>IFERROR((D6-E6)/E6,"")</f>
        <v/>
      </c>
      <c r="G6" s="27" t="n">
        <v>1200</v>
      </c>
      <c r="H6" s="7">
        <f>IFERROR(G6*D6,"")</f>
        <v/>
      </c>
      <c r="I6" s="7">
        <f>IFERROR(IF(F6&gt;=参数配置!$C$15,-H6,C6-H6),"")</f>
        <v/>
      </c>
      <c r="J6" s="29">
        <f>IFERROR(IF(F6&gt;=参数配置!$C$15,"全仓清仓",IF(H6&gt;C6,"卖出超额","正常定投")),"")</f>
        <v/>
      </c>
      <c r="K6" s="30">
        <f>IFERROR(I6,"")</f>
        <v/>
      </c>
      <c r="L6" s="17" t="n">
        <v>2250.6</v>
      </c>
      <c r="M6" s="27" t="n">
        <v>1100</v>
      </c>
      <c r="N6" s="31">
        <f>IFERROR(G6+M6,"")</f>
        <v/>
      </c>
      <c r="O6" s="7">
        <f>IFERROR(O5+L6,"")</f>
        <v/>
      </c>
      <c r="P6" s="7">
        <f>IFERROR(-L6,"")</f>
        <v/>
      </c>
      <c r="Q6" s="32" t="n"/>
    </row>
    <row r="7">
      <c r="A7" s="33" t="inlineStr">
        <is>
          <t>2026-05-22</t>
        </is>
      </c>
      <c r="B7" s="15" t="n">
        <v>3</v>
      </c>
      <c r="C7" s="7">
        <f>IFERROR(参数配置!$C$8*(B7-$S$3),"")</f>
        <v/>
      </c>
      <c r="D7" s="27" t="n">
        <v>2.124</v>
      </c>
      <c r="E7" s="27" t="n">
        <v>1.7868</v>
      </c>
      <c r="F7" s="28">
        <f>IFERROR((D7-E7)/E7,"")</f>
        <v/>
      </c>
      <c r="G7" s="27" t="n">
        <v>2300</v>
      </c>
      <c r="H7" s="7">
        <f>IFERROR(G7*D7,"")</f>
        <v/>
      </c>
      <c r="I7" s="7">
        <f>IFERROR(IF(F7&gt;=参数配置!$C$15,-H7,C7-H7),"")</f>
        <v/>
      </c>
      <c r="J7" s="29">
        <f>IFERROR(IF(F7&gt;=参数配置!$C$15,"全仓清仓",IF(H7&gt;C7,"卖出超额","正常定投")),"")</f>
        <v/>
      </c>
      <c r="K7" s="30">
        <f>IFERROR(I7,"")</f>
        <v/>
      </c>
      <c r="L7" s="17" t="n">
        <v>2336.4</v>
      </c>
      <c r="M7" s="27" t="n">
        <v>1100</v>
      </c>
      <c r="N7" s="31">
        <f>IFERROR(G7+M7,"")</f>
        <v/>
      </c>
      <c r="O7" s="7">
        <f>IFERROR(O6+L7,"")</f>
        <v/>
      </c>
      <c r="P7" s="7">
        <f>IFERROR(-L7,"")</f>
        <v/>
      </c>
      <c r="Q7" s="32" t="n"/>
    </row>
    <row r="8">
      <c r="A8" s="33" t="n"/>
      <c r="B8" s="15" t="n"/>
      <c r="C8" s="7">
        <f>IFERROR(参数配置!$C$8*(B8-$S$3),"")</f>
        <v/>
      </c>
      <c r="D8" s="27" t="n"/>
      <c r="E8" s="27" t="n"/>
      <c r="F8" s="28">
        <f>IFERROR((D8-E8)/E8,"")</f>
        <v/>
      </c>
      <c r="G8" s="27" t="n"/>
      <c r="H8" s="7">
        <f>IFERROR(G8*D8,"")</f>
        <v/>
      </c>
      <c r="I8" s="7">
        <f>IFERROR(IF(F8&gt;=参数配置!$C$15,-H8,C8-H8),"")</f>
        <v/>
      </c>
      <c r="J8" s="29">
        <f>IFERROR(IF(F8&gt;=参数配置!$C$15,"全仓清仓",IF(H8&gt;C8,"卖出超额","正常定投")),"")</f>
        <v/>
      </c>
      <c r="K8" s="30">
        <f>IFERROR(I8,"")</f>
        <v/>
      </c>
      <c r="L8" s="17" t="n"/>
      <c r="M8" s="27" t="n"/>
      <c r="N8" s="31">
        <f>IFERROR(G8+M8,"")</f>
        <v/>
      </c>
      <c r="O8" s="7">
        <f>IFERROR(O7+L8,"")</f>
        <v/>
      </c>
      <c r="P8" s="7">
        <f>IFERROR(-L8,"")</f>
        <v/>
      </c>
      <c r="Q8" s="32" t="n"/>
    </row>
    <row r="9">
      <c r="A9" s="33" t="n"/>
      <c r="B9" s="15" t="n"/>
      <c r="C9" s="7">
        <f>IFERROR(参数配置!$C$8*(B9-$S$3),"")</f>
        <v/>
      </c>
      <c r="D9" s="27" t="n"/>
      <c r="E9" s="27" t="n"/>
      <c r="F9" s="28">
        <f>IFERROR((D9-E9)/E9,"")</f>
        <v/>
      </c>
      <c r="G9" s="27" t="n"/>
      <c r="H9" s="7">
        <f>IFERROR(G9*D9,"")</f>
        <v/>
      </c>
      <c r="I9" s="7">
        <f>IFERROR(IF(F9&gt;=参数配置!$C$15,-H9,C9-H9),"")</f>
        <v/>
      </c>
      <c r="J9" s="29">
        <f>IFERROR(IF(F9&gt;=参数配置!$C$15,"全仓清仓",IF(H9&gt;C9,"卖出超额","正常定投")),"")</f>
        <v/>
      </c>
      <c r="K9" s="30">
        <f>IFERROR(I9,"")</f>
        <v/>
      </c>
      <c r="L9" s="17" t="n"/>
      <c r="M9" s="27" t="n"/>
      <c r="N9" s="31">
        <f>IFERROR(G9+M9,"")</f>
        <v/>
      </c>
      <c r="O9" s="7">
        <f>IFERROR(O8+L9,"")</f>
        <v/>
      </c>
      <c r="P9" s="7">
        <f>IFERROR(-L9,"")</f>
        <v/>
      </c>
      <c r="Q9" s="32" t="n"/>
    </row>
    <row r="10">
      <c r="A10" s="33" t="n"/>
      <c r="B10" s="15" t="n"/>
      <c r="C10" s="7">
        <f>IFERROR(参数配置!$C$8*(B10-$S$3),"")</f>
        <v/>
      </c>
      <c r="D10" s="27" t="n"/>
      <c r="E10" s="27" t="n"/>
      <c r="F10" s="28">
        <f>IFERROR((D10-E10)/E10,"")</f>
        <v/>
      </c>
      <c r="G10" s="27" t="n"/>
      <c r="H10" s="7">
        <f>IFERROR(G10*D10,"")</f>
        <v/>
      </c>
      <c r="I10" s="7">
        <f>IFERROR(IF(F10&gt;=参数配置!$C$15,-H10,C10-H10),"")</f>
        <v/>
      </c>
      <c r="J10" s="29">
        <f>IFERROR(IF(F10&gt;=参数配置!$C$15,"全仓清仓",IF(H10&gt;C10,"卖出超额","正常定投")),"")</f>
        <v/>
      </c>
      <c r="K10" s="30">
        <f>IFERROR(I10,"")</f>
        <v/>
      </c>
      <c r="L10" s="17" t="n"/>
      <c r="M10" s="27" t="n"/>
      <c r="N10" s="31">
        <f>IFERROR(G10+M10,"")</f>
        <v/>
      </c>
      <c r="O10" s="7">
        <f>IFERROR(O9+L10,"")</f>
        <v/>
      </c>
      <c r="P10" s="7">
        <f>IFERROR(-L10,"")</f>
        <v/>
      </c>
      <c r="Q10" s="32" t="n"/>
    </row>
    <row r="11">
      <c r="A11" s="33" t="n"/>
      <c r="B11" s="15" t="n"/>
      <c r="C11" s="7">
        <f>IFERROR(参数配置!$C$8*(B11-$S$3),"")</f>
        <v/>
      </c>
      <c r="D11" s="27" t="n"/>
      <c r="E11" s="27" t="n"/>
      <c r="F11" s="28">
        <f>IFERROR((D11-E11)/E11,"")</f>
        <v/>
      </c>
      <c r="G11" s="27" t="n"/>
      <c r="H11" s="7">
        <f>IFERROR(G11*D11,"")</f>
        <v/>
      </c>
      <c r="I11" s="7">
        <f>IFERROR(IF(F11&gt;=参数配置!$C$15,-H11,C11-H11),"")</f>
        <v/>
      </c>
      <c r="J11" s="29">
        <f>IFERROR(IF(F11&gt;=参数配置!$C$15,"全仓清仓",IF(H11&gt;C11,"卖出超额","正常定投")),"")</f>
        <v/>
      </c>
      <c r="K11" s="30">
        <f>IFERROR(I11,"")</f>
        <v/>
      </c>
      <c r="L11" s="17" t="n"/>
      <c r="M11" s="27" t="n"/>
      <c r="N11" s="31">
        <f>IFERROR(G11+M11,"")</f>
        <v/>
      </c>
      <c r="O11" s="7">
        <f>IFERROR(O10+L11,"")</f>
        <v/>
      </c>
      <c r="P11" s="7">
        <f>IFERROR(-L11,"")</f>
        <v/>
      </c>
      <c r="Q11" s="32" t="n"/>
    </row>
    <row r="12">
      <c r="A12" s="33" t="n"/>
      <c r="B12" s="15" t="n"/>
      <c r="C12" s="7">
        <f>IFERROR(参数配置!$C$8*(B12-$S$3),"")</f>
        <v/>
      </c>
      <c r="D12" s="27" t="n"/>
      <c r="E12" s="27" t="n"/>
      <c r="F12" s="28">
        <f>IFERROR((D12-E12)/E12,"")</f>
        <v/>
      </c>
      <c r="G12" s="27" t="n"/>
      <c r="H12" s="7">
        <f>IFERROR(G12*D12,"")</f>
        <v/>
      </c>
      <c r="I12" s="7">
        <f>IFERROR(IF(F12&gt;=参数配置!$C$15,-H12,C12-H12),"")</f>
        <v/>
      </c>
      <c r="J12" s="29">
        <f>IFERROR(IF(F12&gt;=参数配置!$C$15,"全仓清仓",IF(H12&gt;C12,"卖出超额","正常定投")),"")</f>
        <v/>
      </c>
      <c r="K12" s="30">
        <f>IFERROR(I12,"")</f>
        <v/>
      </c>
      <c r="L12" s="17" t="n"/>
      <c r="M12" s="27" t="n"/>
      <c r="N12" s="31">
        <f>IFERROR(G12+M12,"")</f>
        <v/>
      </c>
      <c r="O12" s="7">
        <f>IFERROR(O11+L12,"")</f>
        <v/>
      </c>
      <c r="P12" s="7">
        <f>IFERROR(-L12,"")</f>
        <v/>
      </c>
      <c r="Q12" s="32" t="n"/>
    </row>
    <row r="13">
      <c r="A13" s="33" t="n"/>
      <c r="B13" s="15" t="n"/>
      <c r="C13" s="7">
        <f>IFERROR(参数配置!$C$8*(B13-$S$3),"")</f>
        <v/>
      </c>
      <c r="D13" s="27" t="n"/>
      <c r="E13" s="27" t="n"/>
      <c r="F13" s="28">
        <f>IFERROR((D13-E13)/E13,"")</f>
        <v/>
      </c>
      <c r="G13" s="27" t="n"/>
      <c r="H13" s="7">
        <f>IFERROR(G13*D13,"")</f>
        <v/>
      </c>
      <c r="I13" s="7">
        <f>IFERROR(IF(F13&gt;=参数配置!$C$15,-H13,C13-H13),"")</f>
        <v/>
      </c>
      <c r="J13" s="29">
        <f>IFERROR(IF(F13&gt;=参数配置!$C$15,"全仓清仓",IF(H13&gt;C13,"卖出超额","正常定投")),"")</f>
        <v/>
      </c>
      <c r="K13" s="30">
        <f>IFERROR(I13,"")</f>
        <v/>
      </c>
      <c r="L13" s="17" t="n"/>
      <c r="M13" s="27" t="n"/>
      <c r="N13" s="31">
        <f>IFERROR(G13+M13,"")</f>
        <v/>
      </c>
      <c r="O13" s="7">
        <f>IFERROR(O12+L13,"")</f>
        <v/>
      </c>
      <c r="P13" s="7">
        <f>IFERROR(-L13,"")</f>
        <v/>
      </c>
      <c r="Q13" s="32" t="n"/>
    </row>
    <row r="14">
      <c r="A14" s="33" t="n"/>
      <c r="B14" s="15" t="n"/>
      <c r="C14" s="7">
        <f>IFERROR(参数配置!$C$8*(B14-$S$3),"")</f>
        <v/>
      </c>
      <c r="D14" s="27" t="n"/>
      <c r="E14" s="27" t="n"/>
      <c r="F14" s="28">
        <f>IFERROR((D14-E14)/E14,"")</f>
        <v/>
      </c>
      <c r="G14" s="27" t="n"/>
      <c r="H14" s="7">
        <f>IFERROR(G14*D14,"")</f>
        <v/>
      </c>
      <c r="I14" s="7">
        <f>IFERROR(IF(F14&gt;=参数配置!$C$15,-H14,C14-H14),"")</f>
        <v/>
      </c>
      <c r="J14" s="29">
        <f>IFERROR(IF(F14&gt;=参数配置!$C$15,"全仓清仓",IF(H14&gt;C14,"卖出超额","正常定投")),"")</f>
        <v/>
      </c>
      <c r="K14" s="30">
        <f>IFERROR(I14,"")</f>
        <v/>
      </c>
      <c r="L14" s="17" t="n"/>
      <c r="M14" s="27" t="n"/>
      <c r="N14" s="31">
        <f>IFERROR(G14+M14,"")</f>
        <v/>
      </c>
      <c r="O14" s="7">
        <f>IFERROR(O13+L14,"")</f>
        <v/>
      </c>
      <c r="P14" s="7">
        <f>IFERROR(-L14,"")</f>
        <v/>
      </c>
      <c r="Q14" s="32" t="n"/>
    </row>
    <row r="15">
      <c r="A15" s="33" t="n"/>
      <c r="B15" s="15" t="n"/>
      <c r="C15" s="7">
        <f>IFERROR(参数配置!$C$8*(B15-$S$3),"")</f>
        <v/>
      </c>
      <c r="D15" s="27" t="n"/>
      <c r="E15" s="27" t="n"/>
      <c r="F15" s="28">
        <f>IFERROR((D15-E15)/E15,"")</f>
        <v/>
      </c>
      <c r="G15" s="27" t="n"/>
      <c r="H15" s="7">
        <f>IFERROR(G15*D15,"")</f>
        <v/>
      </c>
      <c r="I15" s="7">
        <f>IFERROR(IF(F15&gt;=参数配置!$C$15,-H15,C15-H15),"")</f>
        <v/>
      </c>
      <c r="J15" s="29">
        <f>IFERROR(IF(F15&gt;=参数配置!$C$15,"全仓清仓",IF(H15&gt;C15,"卖出超额","正常定投")),"")</f>
        <v/>
      </c>
      <c r="K15" s="30">
        <f>IFERROR(I15,"")</f>
        <v/>
      </c>
      <c r="L15" s="17" t="n"/>
      <c r="M15" s="27" t="n"/>
      <c r="N15" s="31">
        <f>IFERROR(G15+M15,"")</f>
        <v/>
      </c>
      <c r="O15" s="7">
        <f>IFERROR(O14+L15,"")</f>
        <v/>
      </c>
      <c r="P15" s="7">
        <f>IFERROR(-L15,"")</f>
        <v/>
      </c>
      <c r="Q15" s="32" t="n"/>
    </row>
    <row r="16">
      <c r="A16" s="33" t="n"/>
      <c r="B16" s="15" t="n"/>
      <c r="C16" s="7">
        <f>IFERROR(参数配置!$C$8*(B16-$S$3),"")</f>
        <v/>
      </c>
      <c r="D16" s="27" t="n"/>
      <c r="E16" s="27" t="n"/>
      <c r="F16" s="28">
        <f>IFERROR((D16-E16)/E16,"")</f>
        <v/>
      </c>
      <c r="G16" s="27" t="n"/>
      <c r="H16" s="7">
        <f>IFERROR(G16*D16,"")</f>
        <v/>
      </c>
      <c r="I16" s="7">
        <f>IFERROR(IF(F16&gt;=参数配置!$C$15,-H16,C16-H16),"")</f>
        <v/>
      </c>
      <c r="J16" s="29">
        <f>IFERROR(IF(F16&gt;=参数配置!$C$15,"全仓清仓",IF(H16&gt;C16,"卖出超额","正常定投")),"")</f>
        <v/>
      </c>
      <c r="K16" s="30">
        <f>IFERROR(I16,"")</f>
        <v/>
      </c>
      <c r="L16" s="17" t="n"/>
      <c r="M16" s="27" t="n"/>
      <c r="N16" s="31">
        <f>IFERROR(G16+M16,"")</f>
        <v/>
      </c>
      <c r="O16" s="7">
        <f>IFERROR(O15+L16,"")</f>
        <v/>
      </c>
      <c r="P16" s="7">
        <f>IFERROR(-L16,"")</f>
        <v/>
      </c>
      <c r="Q16" s="32" t="n"/>
    </row>
    <row r="17">
      <c r="A17" s="33" t="n"/>
      <c r="B17" s="15" t="n"/>
      <c r="C17" s="7">
        <f>IFERROR(参数配置!$C$8*(B17-$S$3),"")</f>
        <v/>
      </c>
      <c r="D17" s="27" t="n"/>
      <c r="E17" s="27" t="n"/>
      <c r="F17" s="28">
        <f>IFERROR((D17-E17)/E17,"")</f>
        <v/>
      </c>
      <c r="G17" s="27" t="n"/>
      <c r="H17" s="7">
        <f>IFERROR(G17*D17,"")</f>
        <v/>
      </c>
      <c r="I17" s="7">
        <f>IFERROR(IF(F17&gt;=参数配置!$C$15,-H17,C17-H17),"")</f>
        <v/>
      </c>
      <c r="J17" s="29">
        <f>IFERROR(IF(F17&gt;=参数配置!$C$15,"全仓清仓",IF(H17&gt;C17,"卖出超额","正常定投")),"")</f>
        <v/>
      </c>
      <c r="K17" s="30">
        <f>IFERROR(I17,"")</f>
        <v/>
      </c>
      <c r="L17" s="17" t="n"/>
      <c r="M17" s="27" t="n"/>
      <c r="N17" s="31">
        <f>IFERROR(G17+M17,"")</f>
        <v/>
      </c>
      <c r="O17" s="7">
        <f>IFERROR(O16+L17,"")</f>
        <v/>
      </c>
      <c r="P17" s="7">
        <f>IFERROR(-L17,"")</f>
        <v/>
      </c>
      <c r="Q17" s="32" t="n"/>
    </row>
    <row r="18">
      <c r="A18" s="33" t="n"/>
      <c r="B18" s="15" t="n"/>
      <c r="C18" s="7">
        <f>IFERROR(参数配置!$C$8*(B18-$S$3),"")</f>
        <v/>
      </c>
      <c r="D18" s="27" t="n"/>
      <c r="E18" s="27" t="n"/>
      <c r="F18" s="28">
        <f>IFERROR((D18-E18)/E18,"")</f>
        <v/>
      </c>
      <c r="G18" s="27" t="n"/>
      <c r="H18" s="7">
        <f>IFERROR(G18*D18,"")</f>
        <v/>
      </c>
      <c r="I18" s="7">
        <f>IFERROR(IF(F18&gt;=参数配置!$C$15,-H18,C18-H18),"")</f>
        <v/>
      </c>
      <c r="J18" s="29">
        <f>IFERROR(IF(F18&gt;=参数配置!$C$15,"全仓清仓",IF(H18&gt;C18,"卖出超额","正常定投")),"")</f>
        <v/>
      </c>
      <c r="K18" s="30">
        <f>IFERROR(I18,"")</f>
        <v/>
      </c>
      <c r="L18" s="17" t="n"/>
      <c r="M18" s="27" t="n"/>
      <c r="N18" s="31">
        <f>IFERROR(G18+M18,"")</f>
        <v/>
      </c>
      <c r="O18" s="7">
        <f>IFERROR(O17+L18,"")</f>
        <v/>
      </c>
      <c r="P18" s="7">
        <f>IFERROR(-L18,"")</f>
        <v/>
      </c>
      <c r="Q18" s="32" t="n"/>
    </row>
    <row r="19">
      <c r="A19" s="33" t="n"/>
      <c r="B19" s="15" t="n"/>
      <c r="C19" s="7">
        <f>IFERROR(参数配置!$C$8*(B19-$S$3),"")</f>
        <v/>
      </c>
      <c r="D19" s="27" t="n"/>
      <c r="E19" s="27" t="n"/>
      <c r="F19" s="28">
        <f>IFERROR((D19-E19)/E19,"")</f>
        <v/>
      </c>
      <c r="G19" s="27" t="n"/>
      <c r="H19" s="7">
        <f>IFERROR(G19*D19,"")</f>
        <v/>
      </c>
      <c r="I19" s="7">
        <f>IFERROR(IF(F19&gt;=参数配置!$C$15,-H19,C19-H19),"")</f>
        <v/>
      </c>
      <c r="J19" s="29">
        <f>IFERROR(IF(F19&gt;=参数配置!$C$15,"全仓清仓",IF(H19&gt;C19,"卖出超额","正常定投")),"")</f>
        <v/>
      </c>
      <c r="K19" s="30">
        <f>IFERROR(I19,"")</f>
        <v/>
      </c>
      <c r="L19" s="17" t="n"/>
      <c r="M19" s="27" t="n"/>
      <c r="N19" s="31">
        <f>IFERROR(G19+M19,"")</f>
        <v/>
      </c>
      <c r="O19" s="7">
        <f>IFERROR(O18+L19,"")</f>
        <v/>
      </c>
      <c r="P19" s="7">
        <f>IFERROR(-L19,"")</f>
        <v/>
      </c>
      <c r="Q19" s="32" t="n"/>
    </row>
    <row r="20">
      <c r="A20" s="33" t="n"/>
      <c r="B20" s="15" t="n"/>
      <c r="C20" s="7">
        <f>IFERROR(参数配置!$C$8*(B20-$S$3),"")</f>
        <v/>
      </c>
      <c r="D20" s="27" t="n"/>
      <c r="E20" s="27" t="n"/>
      <c r="F20" s="28">
        <f>IFERROR((D20-E20)/E20,"")</f>
        <v/>
      </c>
      <c r="G20" s="27" t="n"/>
      <c r="H20" s="7">
        <f>IFERROR(G20*D20,"")</f>
        <v/>
      </c>
      <c r="I20" s="7">
        <f>IFERROR(IF(F20&gt;=参数配置!$C$15,-H20,C20-H20),"")</f>
        <v/>
      </c>
      <c r="J20" s="29">
        <f>IFERROR(IF(F20&gt;=参数配置!$C$15,"全仓清仓",IF(H20&gt;C20,"卖出超额","正常定投")),"")</f>
        <v/>
      </c>
      <c r="K20" s="30">
        <f>IFERROR(I20,"")</f>
        <v/>
      </c>
      <c r="L20" s="17" t="n"/>
      <c r="M20" s="27" t="n"/>
      <c r="N20" s="31">
        <f>IFERROR(G20+M20,"")</f>
        <v/>
      </c>
      <c r="O20" s="7">
        <f>IFERROR(O19+L20,"")</f>
        <v/>
      </c>
      <c r="P20" s="7">
        <f>IFERROR(-L20,"")</f>
        <v/>
      </c>
      <c r="Q20" s="32" t="n"/>
    </row>
    <row r="21">
      <c r="A21" s="33" t="n"/>
      <c r="B21" s="15" t="n"/>
      <c r="C21" s="7">
        <f>IFERROR(参数配置!$C$8*(B21-$S$3),"")</f>
        <v/>
      </c>
      <c r="D21" s="27" t="n"/>
      <c r="E21" s="27" t="n"/>
      <c r="F21" s="28">
        <f>IFERROR((D21-E21)/E21,"")</f>
        <v/>
      </c>
      <c r="G21" s="27" t="n"/>
      <c r="H21" s="7">
        <f>IFERROR(G21*D21,"")</f>
        <v/>
      </c>
      <c r="I21" s="7">
        <f>IFERROR(IF(F21&gt;=参数配置!$C$15,-H21,C21-H21),"")</f>
        <v/>
      </c>
      <c r="J21" s="29">
        <f>IFERROR(IF(F21&gt;=参数配置!$C$15,"全仓清仓",IF(H21&gt;C21,"卖出超额","正常定投")),"")</f>
        <v/>
      </c>
      <c r="K21" s="30">
        <f>IFERROR(I21,"")</f>
        <v/>
      </c>
      <c r="L21" s="17" t="n"/>
      <c r="M21" s="27" t="n"/>
      <c r="N21" s="31">
        <f>IFERROR(G21+M21,"")</f>
        <v/>
      </c>
      <c r="O21" s="7">
        <f>IFERROR(O20+L21,"")</f>
        <v/>
      </c>
      <c r="P21" s="7">
        <f>IFERROR(-L21,"")</f>
        <v/>
      </c>
      <c r="Q21" s="32" t="n"/>
    </row>
    <row r="22">
      <c r="A22" s="33" t="n"/>
      <c r="B22" s="15" t="n"/>
      <c r="C22" s="7">
        <f>IFERROR(参数配置!$C$8*(B22-$S$3),"")</f>
        <v/>
      </c>
      <c r="D22" s="27" t="n"/>
      <c r="E22" s="27" t="n"/>
      <c r="F22" s="28">
        <f>IFERROR((D22-E22)/E22,"")</f>
        <v/>
      </c>
      <c r="G22" s="27" t="n"/>
      <c r="H22" s="7">
        <f>IFERROR(G22*D22,"")</f>
        <v/>
      </c>
      <c r="I22" s="7">
        <f>IFERROR(IF(F22&gt;=参数配置!$C$15,-H22,C22-H22),"")</f>
        <v/>
      </c>
      <c r="J22" s="29">
        <f>IFERROR(IF(F22&gt;=参数配置!$C$15,"全仓清仓",IF(H22&gt;C22,"卖出超额","正常定投")),"")</f>
        <v/>
      </c>
      <c r="K22" s="30">
        <f>IFERROR(I22,"")</f>
        <v/>
      </c>
      <c r="L22" s="17" t="n"/>
      <c r="M22" s="27" t="n"/>
      <c r="N22" s="31">
        <f>IFERROR(G22+M22,"")</f>
        <v/>
      </c>
      <c r="O22" s="7">
        <f>IFERROR(O21+L22,"")</f>
        <v/>
      </c>
      <c r="P22" s="7">
        <f>IFERROR(-L22,"")</f>
        <v/>
      </c>
      <c r="Q22" s="32" t="n"/>
    </row>
    <row r="23">
      <c r="A23" s="33" t="n"/>
      <c r="B23" s="15" t="n"/>
      <c r="C23" s="7">
        <f>IFERROR(参数配置!$C$8*(B23-$S$3),"")</f>
        <v/>
      </c>
      <c r="D23" s="27" t="n"/>
      <c r="E23" s="27" t="n"/>
      <c r="F23" s="28">
        <f>IFERROR((D23-E23)/E23,"")</f>
        <v/>
      </c>
      <c r="G23" s="27" t="n"/>
      <c r="H23" s="7">
        <f>IFERROR(G23*D23,"")</f>
        <v/>
      </c>
      <c r="I23" s="7">
        <f>IFERROR(IF(F23&gt;=参数配置!$C$15,-H23,C23-H23),"")</f>
        <v/>
      </c>
      <c r="J23" s="29">
        <f>IFERROR(IF(F23&gt;=参数配置!$C$15,"全仓清仓",IF(H23&gt;C23,"卖出超额","正常定投")),"")</f>
        <v/>
      </c>
      <c r="K23" s="30">
        <f>IFERROR(I23,"")</f>
        <v/>
      </c>
      <c r="L23" s="17" t="n"/>
      <c r="M23" s="27" t="n"/>
      <c r="N23" s="31">
        <f>IFERROR(G23+M23,"")</f>
        <v/>
      </c>
      <c r="O23" s="7">
        <f>IFERROR(O22+L23,"")</f>
        <v/>
      </c>
      <c r="P23" s="7">
        <f>IFERROR(-L23,"")</f>
        <v/>
      </c>
      <c r="Q23" s="32" t="n"/>
    </row>
    <row r="24">
      <c r="A24" s="33" t="n"/>
      <c r="B24" s="15" t="n"/>
      <c r="C24" s="7">
        <f>IFERROR(参数配置!$C$8*(B24-$S$3),"")</f>
        <v/>
      </c>
      <c r="D24" s="27" t="n"/>
      <c r="E24" s="27" t="n"/>
      <c r="F24" s="28">
        <f>IFERROR((D24-E24)/E24,"")</f>
        <v/>
      </c>
      <c r="G24" s="27" t="n"/>
      <c r="H24" s="7">
        <f>IFERROR(G24*D24,"")</f>
        <v/>
      </c>
      <c r="I24" s="7">
        <f>IFERROR(IF(F24&gt;=参数配置!$C$15,-H24,C24-H24),"")</f>
        <v/>
      </c>
      <c r="J24" s="29">
        <f>IFERROR(IF(F24&gt;=参数配置!$C$15,"全仓清仓",IF(H24&gt;C24,"卖出超额","正常定投")),"")</f>
        <v/>
      </c>
      <c r="K24" s="30">
        <f>IFERROR(I24,"")</f>
        <v/>
      </c>
      <c r="L24" s="17" t="n"/>
      <c r="M24" s="27" t="n"/>
      <c r="N24" s="31">
        <f>IFERROR(G24+M24,"")</f>
        <v/>
      </c>
      <c r="O24" s="7">
        <f>IFERROR(O23+L24,"")</f>
        <v/>
      </c>
      <c r="P24" s="7">
        <f>IFERROR(-L24,"")</f>
        <v/>
      </c>
      <c r="Q24" s="32" t="n"/>
    </row>
    <row r="25">
      <c r="A25" s="33" t="n"/>
      <c r="B25" s="15" t="n"/>
      <c r="C25" s="7">
        <f>IFERROR(参数配置!$C$8*(B25-$S$3),"")</f>
        <v/>
      </c>
      <c r="D25" s="27" t="n"/>
      <c r="E25" s="27" t="n"/>
      <c r="F25" s="28">
        <f>IFERROR((D25-E25)/E25,"")</f>
        <v/>
      </c>
      <c r="G25" s="27" t="n"/>
      <c r="H25" s="7">
        <f>IFERROR(G25*D25,"")</f>
        <v/>
      </c>
      <c r="I25" s="7">
        <f>IFERROR(IF(F25&gt;=参数配置!$C$15,-H25,C25-H25),"")</f>
        <v/>
      </c>
      <c r="J25" s="29">
        <f>IFERROR(IF(F25&gt;=参数配置!$C$15,"全仓清仓",IF(H25&gt;C25,"卖出超额","正常定投")),"")</f>
        <v/>
      </c>
      <c r="K25" s="30">
        <f>IFERROR(I25,"")</f>
        <v/>
      </c>
      <c r="L25" s="17" t="n"/>
      <c r="M25" s="27" t="n"/>
      <c r="N25" s="31">
        <f>IFERROR(G25+M25,"")</f>
        <v/>
      </c>
      <c r="O25" s="7">
        <f>IFERROR(O24+L25,"")</f>
        <v/>
      </c>
      <c r="P25" s="7">
        <f>IFERROR(-L25,"")</f>
        <v/>
      </c>
      <c r="Q25" s="32" t="n"/>
    </row>
    <row r="26">
      <c r="A26" s="33" t="n"/>
      <c r="B26" s="15" t="n"/>
      <c r="C26" s="7">
        <f>IFERROR(参数配置!$C$8*(B26-$S$3),"")</f>
        <v/>
      </c>
      <c r="D26" s="27" t="n"/>
      <c r="E26" s="27" t="n"/>
      <c r="F26" s="28">
        <f>IFERROR((D26-E26)/E26,"")</f>
        <v/>
      </c>
      <c r="G26" s="27" t="n"/>
      <c r="H26" s="7">
        <f>IFERROR(G26*D26,"")</f>
        <v/>
      </c>
      <c r="I26" s="7">
        <f>IFERROR(IF(F26&gt;=参数配置!$C$15,-H26,C26-H26),"")</f>
        <v/>
      </c>
      <c r="J26" s="29">
        <f>IFERROR(IF(F26&gt;=参数配置!$C$15,"全仓清仓",IF(H26&gt;C26,"卖出超额","正常定投")),"")</f>
        <v/>
      </c>
      <c r="K26" s="30">
        <f>IFERROR(I26,"")</f>
        <v/>
      </c>
      <c r="L26" s="17" t="n"/>
      <c r="M26" s="27" t="n"/>
      <c r="N26" s="31">
        <f>IFERROR(G26+M26,"")</f>
        <v/>
      </c>
      <c r="O26" s="7">
        <f>IFERROR(O25+L26,"")</f>
        <v/>
      </c>
      <c r="P26" s="7">
        <f>IFERROR(-L26,"")</f>
        <v/>
      </c>
      <c r="Q26" s="32" t="n"/>
    </row>
    <row r="27">
      <c r="A27" s="33" t="n"/>
      <c r="B27" s="15" t="n"/>
      <c r="C27" s="7">
        <f>IFERROR(参数配置!$C$8*(B27-$S$3),"")</f>
        <v/>
      </c>
      <c r="D27" s="27" t="n"/>
      <c r="E27" s="27" t="n"/>
      <c r="F27" s="28">
        <f>IFERROR((D27-E27)/E27,"")</f>
        <v/>
      </c>
      <c r="G27" s="27" t="n"/>
      <c r="H27" s="7">
        <f>IFERROR(G27*D27,"")</f>
        <v/>
      </c>
      <c r="I27" s="7">
        <f>IFERROR(IF(F27&gt;=参数配置!$C$15,-H27,C27-H27),"")</f>
        <v/>
      </c>
      <c r="J27" s="29">
        <f>IFERROR(IF(F27&gt;=参数配置!$C$15,"全仓清仓",IF(H27&gt;C27,"卖出超额","正常定投")),"")</f>
        <v/>
      </c>
      <c r="K27" s="30">
        <f>IFERROR(I27,"")</f>
        <v/>
      </c>
      <c r="L27" s="17" t="n"/>
      <c r="M27" s="27" t="n"/>
      <c r="N27" s="31">
        <f>IFERROR(G27+M27,"")</f>
        <v/>
      </c>
      <c r="O27" s="7">
        <f>IFERROR(O26+L27,"")</f>
        <v/>
      </c>
      <c r="P27" s="7">
        <f>IFERROR(-L27,"")</f>
        <v/>
      </c>
      <c r="Q27" s="32" t="n"/>
    </row>
    <row r="28">
      <c r="A28" s="33" t="n"/>
      <c r="B28" s="15" t="n"/>
      <c r="C28" s="7">
        <f>IFERROR(参数配置!$C$8*(B28-$S$3),"")</f>
        <v/>
      </c>
      <c r="D28" s="27" t="n"/>
      <c r="E28" s="27" t="n"/>
      <c r="F28" s="28">
        <f>IFERROR((D28-E28)/E28,"")</f>
        <v/>
      </c>
      <c r="G28" s="27" t="n"/>
      <c r="H28" s="7">
        <f>IFERROR(G28*D28,"")</f>
        <v/>
      </c>
      <c r="I28" s="7">
        <f>IFERROR(IF(F28&gt;=参数配置!$C$15,-H28,C28-H28),"")</f>
        <v/>
      </c>
      <c r="J28" s="29">
        <f>IFERROR(IF(F28&gt;=参数配置!$C$15,"全仓清仓",IF(H28&gt;C28,"卖出超额","正常定投")),"")</f>
        <v/>
      </c>
      <c r="K28" s="30">
        <f>IFERROR(I28,"")</f>
        <v/>
      </c>
      <c r="L28" s="17" t="n"/>
      <c r="M28" s="27" t="n"/>
      <c r="N28" s="31">
        <f>IFERROR(G28+M28,"")</f>
        <v/>
      </c>
      <c r="O28" s="7">
        <f>IFERROR(O27+L28,"")</f>
        <v/>
      </c>
      <c r="P28" s="7">
        <f>IFERROR(-L28,"")</f>
        <v/>
      </c>
      <c r="Q28" s="32" t="n"/>
    </row>
    <row r="29">
      <c r="A29" s="33" t="n"/>
      <c r="B29" s="15" t="n"/>
      <c r="C29" s="7">
        <f>IFERROR(参数配置!$C$8*(B29-$S$3),"")</f>
        <v/>
      </c>
      <c r="D29" s="27" t="n"/>
      <c r="E29" s="27" t="n"/>
      <c r="F29" s="28">
        <f>IFERROR((D29-E29)/E29,"")</f>
        <v/>
      </c>
      <c r="G29" s="27" t="n"/>
      <c r="H29" s="7">
        <f>IFERROR(G29*D29,"")</f>
        <v/>
      </c>
      <c r="I29" s="7">
        <f>IFERROR(IF(F29&gt;=参数配置!$C$15,-H29,C29-H29),"")</f>
        <v/>
      </c>
      <c r="J29" s="29">
        <f>IFERROR(IF(F29&gt;=参数配置!$C$15,"全仓清仓",IF(H29&gt;C29,"卖出超额","正常定投")),"")</f>
        <v/>
      </c>
      <c r="K29" s="30">
        <f>IFERROR(I29,"")</f>
        <v/>
      </c>
      <c r="L29" s="17" t="n"/>
      <c r="M29" s="27" t="n"/>
      <c r="N29" s="31">
        <f>IFERROR(G29+M29,"")</f>
        <v/>
      </c>
      <c r="O29" s="7">
        <f>IFERROR(O28+L29,"")</f>
        <v/>
      </c>
      <c r="P29" s="7">
        <f>IFERROR(-L29,"")</f>
        <v/>
      </c>
      <c r="Q29" s="32" t="n"/>
    </row>
    <row r="30">
      <c r="A30" s="33" t="n"/>
      <c r="B30" s="15" t="n"/>
      <c r="C30" s="7">
        <f>IFERROR(参数配置!$C$8*(B30-$S$3),"")</f>
        <v/>
      </c>
      <c r="D30" s="27" t="n"/>
      <c r="E30" s="27" t="n"/>
      <c r="F30" s="28">
        <f>IFERROR((D30-E30)/E30,"")</f>
        <v/>
      </c>
      <c r="G30" s="27" t="n"/>
      <c r="H30" s="7">
        <f>IFERROR(G30*D30,"")</f>
        <v/>
      </c>
      <c r="I30" s="7">
        <f>IFERROR(IF(F30&gt;=参数配置!$C$15,-H30,C30-H30),"")</f>
        <v/>
      </c>
      <c r="J30" s="29">
        <f>IFERROR(IF(F30&gt;=参数配置!$C$15,"全仓清仓",IF(H30&gt;C30,"卖出超额","正常定投")),"")</f>
        <v/>
      </c>
      <c r="K30" s="30">
        <f>IFERROR(I30,"")</f>
        <v/>
      </c>
      <c r="L30" s="17" t="n"/>
      <c r="M30" s="27" t="n"/>
      <c r="N30" s="31">
        <f>IFERROR(G30+M30,"")</f>
        <v/>
      </c>
      <c r="O30" s="7">
        <f>IFERROR(O29+L30,"")</f>
        <v/>
      </c>
      <c r="P30" s="7">
        <f>IFERROR(-L30,"")</f>
        <v/>
      </c>
      <c r="Q30" s="32" t="n"/>
    </row>
    <row r="31">
      <c r="A31" s="33" t="n"/>
      <c r="B31" s="15" t="n"/>
      <c r="C31" s="7">
        <f>IFERROR(参数配置!$C$8*(B31-$S$3),"")</f>
        <v/>
      </c>
      <c r="D31" s="27" t="n"/>
      <c r="E31" s="27" t="n"/>
      <c r="F31" s="28">
        <f>IFERROR((D31-E31)/E31,"")</f>
        <v/>
      </c>
      <c r="G31" s="27" t="n"/>
      <c r="H31" s="7">
        <f>IFERROR(G31*D31,"")</f>
        <v/>
      </c>
      <c r="I31" s="7">
        <f>IFERROR(IF(F31&gt;=参数配置!$C$15,-H31,C31-H31),"")</f>
        <v/>
      </c>
      <c r="J31" s="29">
        <f>IFERROR(IF(F31&gt;=参数配置!$C$15,"全仓清仓",IF(H31&gt;C31,"卖出超额","正常定投")),"")</f>
        <v/>
      </c>
      <c r="K31" s="30">
        <f>IFERROR(I31,"")</f>
        <v/>
      </c>
      <c r="L31" s="17" t="n"/>
      <c r="M31" s="27" t="n"/>
      <c r="N31" s="31">
        <f>IFERROR(G31+M31,"")</f>
        <v/>
      </c>
      <c r="O31" s="7">
        <f>IFERROR(O30+L31,"")</f>
        <v/>
      </c>
      <c r="P31" s="7">
        <f>IFERROR(-L31,"")</f>
        <v/>
      </c>
      <c r="Q31" s="32" t="n"/>
    </row>
    <row r="32">
      <c r="A32" s="33" t="n"/>
      <c r="B32" s="15" t="n"/>
      <c r="C32" s="7">
        <f>IFERROR(参数配置!$C$8*(B32-$S$3),"")</f>
        <v/>
      </c>
      <c r="D32" s="27" t="n"/>
      <c r="E32" s="27" t="n"/>
      <c r="F32" s="28">
        <f>IFERROR((D32-E32)/E32,"")</f>
        <v/>
      </c>
      <c r="G32" s="27" t="n"/>
      <c r="H32" s="7">
        <f>IFERROR(G32*D32,"")</f>
        <v/>
      </c>
      <c r="I32" s="7">
        <f>IFERROR(IF(F32&gt;=参数配置!$C$15,-H32,C32-H32),"")</f>
        <v/>
      </c>
      <c r="J32" s="29">
        <f>IFERROR(IF(F32&gt;=参数配置!$C$15,"全仓清仓",IF(H32&gt;C32,"卖出超额","正常定投")),"")</f>
        <v/>
      </c>
      <c r="K32" s="30">
        <f>IFERROR(I32,"")</f>
        <v/>
      </c>
      <c r="L32" s="17" t="n"/>
      <c r="M32" s="27" t="n"/>
      <c r="N32" s="31">
        <f>IFERROR(G32+M32,"")</f>
        <v/>
      </c>
      <c r="O32" s="7">
        <f>IFERROR(O31+L32,"")</f>
        <v/>
      </c>
      <c r="P32" s="7">
        <f>IFERROR(-L32,"")</f>
        <v/>
      </c>
      <c r="Q32" s="32" t="n"/>
    </row>
    <row r="33">
      <c r="A33" s="33" t="n"/>
      <c r="B33" s="15" t="n"/>
      <c r="C33" s="7">
        <f>IFERROR(参数配置!$C$8*(B33-$S$3),"")</f>
        <v/>
      </c>
      <c r="D33" s="27" t="n"/>
      <c r="E33" s="27" t="n"/>
      <c r="F33" s="28">
        <f>IFERROR((D33-E33)/E33,"")</f>
        <v/>
      </c>
      <c r="G33" s="27" t="n"/>
      <c r="H33" s="7">
        <f>IFERROR(G33*D33,"")</f>
        <v/>
      </c>
      <c r="I33" s="7">
        <f>IFERROR(IF(F33&gt;=参数配置!$C$15,-H33,C33-H33),"")</f>
        <v/>
      </c>
      <c r="J33" s="29">
        <f>IFERROR(IF(F33&gt;=参数配置!$C$15,"全仓清仓",IF(H33&gt;C33,"卖出超额","正常定投")),"")</f>
        <v/>
      </c>
      <c r="K33" s="30">
        <f>IFERROR(I33,"")</f>
        <v/>
      </c>
      <c r="L33" s="17" t="n"/>
      <c r="M33" s="27" t="n"/>
      <c r="N33" s="31">
        <f>IFERROR(G33+M33,"")</f>
        <v/>
      </c>
      <c r="O33" s="7">
        <f>IFERROR(O32+L33,"")</f>
        <v/>
      </c>
      <c r="P33" s="7">
        <f>IFERROR(-L33,"")</f>
        <v/>
      </c>
      <c r="Q33" s="32" t="n"/>
    </row>
    <row r="34">
      <c r="A34" s="33" t="n"/>
      <c r="B34" s="15" t="n"/>
      <c r="C34" s="7">
        <f>IFERROR(参数配置!$C$8*(B34-$S$3),"")</f>
        <v/>
      </c>
      <c r="D34" s="27" t="n"/>
      <c r="E34" s="27" t="n"/>
      <c r="F34" s="28">
        <f>IFERROR((D34-E34)/E34,"")</f>
        <v/>
      </c>
      <c r="G34" s="27" t="n"/>
      <c r="H34" s="7">
        <f>IFERROR(G34*D34,"")</f>
        <v/>
      </c>
      <c r="I34" s="7">
        <f>IFERROR(IF(F34&gt;=参数配置!$C$15,-H34,C34-H34),"")</f>
        <v/>
      </c>
      <c r="J34" s="29">
        <f>IFERROR(IF(F34&gt;=参数配置!$C$15,"全仓清仓",IF(H34&gt;C34,"卖出超额","正常定投")),"")</f>
        <v/>
      </c>
      <c r="K34" s="30">
        <f>IFERROR(I34,"")</f>
        <v/>
      </c>
      <c r="L34" s="17" t="n"/>
      <c r="M34" s="27" t="n"/>
      <c r="N34" s="31">
        <f>IFERROR(G34+M34,"")</f>
        <v/>
      </c>
      <c r="O34" s="7">
        <f>IFERROR(O33+L34,"")</f>
        <v/>
      </c>
      <c r="P34" s="7">
        <f>IFERROR(-L34,"")</f>
        <v/>
      </c>
      <c r="Q34" s="32" t="n"/>
    </row>
    <row r="35">
      <c r="A35" s="33" t="n"/>
      <c r="B35" s="15" t="n"/>
      <c r="C35" s="7">
        <f>IFERROR(参数配置!$C$8*(B35-$S$3),"")</f>
        <v/>
      </c>
      <c r="D35" s="27" t="n"/>
      <c r="E35" s="27" t="n"/>
      <c r="F35" s="28">
        <f>IFERROR((D35-E35)/E35,"")</f>
        <v/>
      </c>
      <c r="G35" s="27" t="n"/>
      <c r="H35" s="7">
        <f>IFERROR(G35*D35,"")</f>
        <v/>
      </c>
      <c r="I35" s="7">
        <f>IFERROR(IF(F35&gt;=参数配置!$C$15,-H35,C35-H35),"")</f>
        <v/>
      </c>
      <c r="J35" s="29">
        <f>IFERROR(IF(F35&gt;=参数配置!$C$15,"全仓清仓",IF(H35&gt;C35,"卖出超额","正常定投")),"")</f>
        <v/>
      </c>
      <c r="K35" s="30">
        <f>IFERROR(I35,"")</f>
        <v/>
      </c>
      <c r="L35" s="17" t="n"/>
      <c r="M35" s="27" t="n"/>
      <c r="N35" s="31">
        <f>IFERROR(G35+M35,"")</f>
        <v/>
      </c>
      <c r="O35" s="7">
        <f>IFERROR(O34+L35,"")</f>
        <v/>
      </c>
      <c r="P35" s="7">
        <f>IFERROR(-L35,"")</f>
        <v/>
      </c>
      <c r="Q35" s="32" t="n"/>
    </row>
    <row r="36">
      <c r="A36" s="33" t="n"/>
      <c r="B36" s="15" t="n"/>
      <c r="C36" s="7">
        <f>IFERROR(参数配置!$C$8*(B36-$S$3),"")</f>
        <v/>
      </c>
      <c r="D36" s="27" t="n"/>
      <c r="E36" s="27" t="n"/>
      <c r="F36" s="28">
        <f>IFERROR((D36-E36)/E36,"")</f>
        <v/>
      </c>
      <c r="G36" s="27" t="n"/>
      <c r="H36" s="7">
        <f>IFERROR(G36*D36,"")</f>
        <v/>
      </c>
      <c r="I36" s="7">
        <f>IFERROR(IF(F36&gt;=参数配置!$C$15,-H36,C36-H36),"")</f>
        <v/>
      </c>
      <c r="J36" s="29">
        <f>IFERROR(IF(F36&gt;=参数配置!$C$15,"全仓清仓",IF(H36&gt;C36,"卖出超额","正常定投")),"")</f>
        <v/>
      </c>
      <c r="K36" s="30">
        <f>IFERROR(I36,"")</f>
        <v/>
      </c>
      <c r="L36" s="17" t="n"/>
      <c r="M36" s="27" t="n"/>
      <c r="N36" s="31">
        <f>IFERROR(G36+M36,"")</f>
        <v/>
      </c>
      <c r="O36" s="7">
        <f>IFERROR(O35+L36,"")</f>
        <v/>
      </c>
      <c r="P36" s="7">
        <f>IFERROR(-L36,"")</f>
        <v/>
      </c>
      <c r="Q36" s="32" t="n"/>
    </row>
    <row r="37">
      <c r="A37" s="33" t="n"/>
      <c r="B37" s="15" t="n"/>
      <c r="C37" s="7">
        <f>IFERROR(参数配置!$C$8*(B37-$S$3),"")</f>
        <v/>
      </c>
      <c r="D37" s="27" t="n"/>
      <c r="E37" s="27" t="n"/>
      <c r="F37" s="28">
        <f>IFERROR((D37-E37)/E37,"")</f>
        <v/>
      </c>
      <c r="G37" s="27" t="n"/>
      <c r="H37" s="7">
        <f>IFERROR(G37*D37,"")</f>
        <v/>
      </c>
      <c r="I37" s="7">
        <f>IFERROR(IF(F37&gt;=参数配置!$C$15,-H37,C37-H37),"")</f>
        <v/>
      </c>
      <c r="J37" s="29">
        <f>IFERROR(IF(F37&gt;=参数配置!$C$15,"全仓清仓",IF(H37&gt;C37,"卖出超额","正常定投")),"")</f>
        <v/>
      </c>
      <c r="K37" s="30">
        <f>IFERROR(I37,"")</f>
        <v/>
      </c>
      <c r="L37" s="17" t="n"/>
      <c r="M37" s="27" t="n"/>
      <c r="N37" s="31">
        <f>IFERROR(G37+M37,"")</f>
        <v/>
      </c>
      <c r="O37" s="7">
        <f>IFERROR(O36+L37,"")</f>
        <v/>
      </c>
      <c r="P37" s="7">
        <f>IFERROR(-L37,"")</f>
        <v/>
      </c>
      <c r="Q37" s="32" t="n"/>
    </row>
    <row r="38">
      <c r="A38" s="33" t="n"/>
      <c r="B38" s="15" t="n"/>
      <c r="C38" s="7">
        <f>IFERROR(参数配置!$C$8*(B38-$S$3),"")</f>
        <v/>
      </c>
      <c r="D38" s="27" t="n"/>
      <c r="E38" s="27" t="n"/>
      <c r="F38" s="28">
        <f>IFERROR((D38-E38)/E38,"")</f>
        <v/>
      </c>
      <c r="G38" s="27" t="n"/>
      <c r="H38" s="7">
        <f>IFERROR(G38*D38,"")</f>
        <v/>
      </c>
      <c r="I38" s="7">
        <f>IFERROR(IF(F38&gt;=参数配置!$C$15,-H38,C38-H38),"")</f>
        <v/>
      </c>
      <c r="J38" s="29">
        <f>IFERROR(IF(F38&gt;=参数配置!$C$15,"全仓清仓",IF(H38&gt;C38,"卖出超额","正常定投")),"")</f>
        <v/>
      </c>
      <c r="K38" s="30">
        <f>IFERROR(I38,"")</f>
        <v/>
      </c>
      <c r="L38" s="17" t="n"/>
      <c r="M38" s="27" t="n"/>
      <c r="N38" s="31">
        <f>IFERROR(G38+M38,"")</f>
        <v/>
      </c>
      <c r="O38" s="7">
        <f>IFERROR(O37+L38,"")</f>
        <v/>
      </c>
      <c r="P38" s="7">
        <f>IFERROR(-L38,"")</f>
        <v/>
      </c>
      <c r="Q38" s="32" t="n"/>
    </row>
    <row r="39">
      <c r="A39" s="33" t="n"/>
      <c r="B39" s="15" t="n"/>
      <c r="C39" s="7">
        <f>IFERROR(参数配置!$C$8*(B39-$S$3),"")</f>
        <v/>
      </c>
      <c r="D39" s="27" t="n"/>
      <c r="E39" s="27" t="n"/>
      <c r="F39" s="28">
        <f>IFERROR((D39-E39)/E39,"")</f>
        <v/>
      </c>
      <c r="G39" s="27" t="n"/>
      <c r="H39" s="7">
        <f>IFERROR(G39*D39,"")</f>
        <v/>
      </c>
      <c r="I39" s="7">
        <f>IFERROR(IF(F39&gt;=参数配置!$C$15,-H39,C39-H39),"")</f>
        <v/>
      </c>
      <c r="J39" s="29">
        <f>IFERROR(IF(F39&gt;=参数配置!$C$15,"全仓清仓",IF(H39&gt;C39,"卖出超额","正常定投")),"")</f>
        <v/>
      </c>
      <c r="K39" s="30">
        <f>IFERROR(I39,"")</f>
        <v/>
      </c>
      <c r="L39" s="17" t="n"/>
      <c r="M39" s="27" t="n"/>
      <c r="N39" s="31">
        <f>IFERROR(G39+M39,"")</f>
        <v/>
      </c>
      <c r="O39" s="7">
        <f>IFERROR(O38+L39,"")</f>
        <v/>
      </c>
      <c r="P39" s="7">
        <f>IFERROR(-L39,"")</f>
        <v/>
      </c>
      <c r="Q39" s="32" t="n"/>
    </row>
    <row r="40">
      <c r="A40" s="33" t="n"/>
      <c r="B40" s="15" t="n"/>
      <c r="C40" s="7">
        <f>IFERROR(参数配置!$C$8*(B40-$S$3),"")</f>
        <v/>
      </c>
      <c r="D40" s="27" t="n"/>
      <c r="E40" s="27" t="n"/>
      <c r="F40" s="28">
        <f>IFERROR((D40-E40)/E40,"")</f>
        <v/>
      </c>
      <c r="G40" s="27" t="n"/>
      <c r="H40" s="7">
        <f>IFERROR(G40*D40,"")</f>
        <v/>
      </c>
      <c r="I40" s="7">
        <f>IFERROR(IF(F40&gt;=参数配置!$C$15,-H40,C40-H40),"")</f>
        <v/>
      </c>
      <c r="J40" s="29">
        <f>IFERROR(IF(F40&gt;=参数配置!$C$15,"全仓清仓",IF(H40&gt;C40,"卖出超额","正常定投")),"")</f>
        <v/>
      </c>
      <c r="K40" s="30">
        <f>IFERROR(I40,"")</f>
        <v/>
      </c>
      <c r="L40" s="17" t="n"/>
      <c r="M40" s="27" t="n"/>
      <c r="N40" s="31">
        <f>IFERROR(G40+M40,"")</f>
        <v/>
      </c>
      <c r="O40" s="7">
        <f>IFERROR(O39+L40,"")</f>
        <v/>
      </c>
      <c r="P40" s="7">
        <f>IFERROR(-L40,"")</f>
        <v/>
      </c>
      <c r="Q40" s="32" t="n"/>
    </row>
    <row r="41">
      <c r="A41" s="33" t="n"/>
      <c r="B41" s="15" t="n"/>
      <c r="C41" s="7">
        <f>IFERROR(参数配置!$C$8*(B41-$S$3),"")</f>
        <v/>
      </c>
      <c r="D41" s="27" t="n"/>
      <c r="E41" s="27" t="n"/>
      <c r="F41" s="28">
        <f>IFERROR((D41-E41)/E41,"")</f>
        <v/>
      </c>
      <c r="G41" s="27" t="n"/>
      <c r="H41" s="7">
        <f>IFERROR(G41*D41,"")</f>
        <v/>
      </c>
      <c r="I41" s="7">
        <f>IFERROR(IF(F41&gt;=参数配置!$C$15,-H41,C41-H41),"")</f>
        <v/>
      </c>
      <c r="J41" s="29">
        <f>IFERROR(IF(F41&gt;=参数配置!$C$15,"全仓清仓",IF(H41&gt;C41,"卖出超额","正常定投")),"")</f>
        <v/>
      </c>
      <c r="K41" s="30">
        <f>IFERROR(I41,"")</f>
        <v/>
      </c>
      <c r="L41" s="17" t="n"/>
      <c r="M41" s="27" t="n"/>
      <c r="N41" s="31">
        <f>IFERROR(G41+M41,"")</f>
        <v/>
      </c>
      <c r="O41" s="7">
        <f>IFERROR(O40+L41,"")</f>
        <v/>
      </c>
      <c r="P41" s="7">
        <f>IFERROR(-L41,"")</f>
        <v/>
      </c>
      <c r="Q41" s="32" t="n"/>
    </row>
    <row r="42">
      <c r="A42" s="33" t="n"/>
      <c r="B42" s="15" t="n"/>
      <c r="C42" s="7">
        <f>IFERROR(参数配置!$C$8*(B42-$S$3),"")</f>
        <v/>
      </c>
      <c r="D42" s="27" t="n"/>
      <c r="E42" s="27" t="n"/>
      <c r="F42" s="28">
        <f>IFERROR((D42-E42)/E42,"")</f>
        <v/>
      </c>
      <c r="G42" s="27" t="n"/>
      <c r="H42" s="7">
        <f>IFERROR(G42*D42,"")</f>
        <v/>
      </c>
      <c r="I42" s="7">
        <f>IFERROR(IF(F42&gt;=参数配置!$C$15,-H42,C42-H42),"")</f>
        <v/>
      </c>
      <c r="J42" s="29">
        <f>IFERROR(IF(F42&gt;=参数配置!$C$15,"全仓清仓",IF(H42&gt;C42,"卖出超额","正常定投")),"")</f>
        <v/>
      </c>
      <c r="K42" s="30">
        <f>IFERROR(I42,"")</f>
        <v/>
      </c>
      <c r="L42" s="17" t="n"/>
      <c r="M42" s="27" t="n"/>
      <c r="N42" s="31">
        <f>IFERROR(G42+M42,"")</f>
        <v/>
      </c>
      <c r="O42" s="7">
        <f>IFERROR(O41+L42,"")</f>
        <v/>
      </c>
      <c r="P42" s="7">
        <f>IFERROR(-L42,"")</f>
        <v/>
      </c>
      <c r="Q42" s="32" t="n"/>
    </row>
    <row r="43">
      <c r="A43" s="33" t="n"/>
      <c r="B43" s="15" t="n"/>
      <c r="C43" s="7">
        <f>IFERROR(参数配置!$C$8*(B43-$S$3),"")</f>
        <v/>
      </c>
      <c r="D43" s="27" t="n"/>
      <c r="E43" s="27" t="n"/>
      <c r="F43" s="28">
        <f>IFERROR((D43-E43)/E43,"")</f>
        <v/>
      </c>
      <c r="G43" s="27" t="n"/>
      <c r="H43" s="7">
        <f>IFERROR(G43*D43,"")</f>
        <v/>
      </c>
      <c r="I43" s="7">
        <f>IFERROR(IF(F43&gt;=参数配置!$C$15,-H43,C43-H43),"")</f>
        <v/>
      </c>
      <c r="J43" s="29">
        <f>IFERROR(IF(F43&gt;=参数配置!$C$15,"全仓清仓",IF(H43&gt;C43,"卖出超额","正常定投")),"")</f>
        <v/>
      </c>
      <c r="K43" s="30">
        <f>IFERROR(I43,"")</f>
        <v/>
      </c>
      <c r="L43" s="17" t="n"/>
      <c r="M43" s="27" t="n"/>
      <c r="N43" s="31">
        <f>IFERROR(G43+M43,"")</f>
        <v/>
      </c>
      <c r="O43" s="7">
        <f>IFERROR(O42+L43,"")</f>
        <v/>
      </c>
      <c r="P43" s="7">
        <f>IFERROR(-L43,"")</f>
        <v/>
      </c>
      <c r="Q43" s="32" t="n"/>
    </row>
    <row r="44">
      <c r="A44" s="33" t="n"/>
      <c r="B44" s="15" t="n"/>
      <c r="C44" s="7">
        <f>IFERROR(参数配置!$C$8*(B44-$S$3),"")</f>
        <v/>
      </c>
      <c r="D44" s="27" t="n"/>
      <c r="E44" s="27" t="n"/>
      <c r="F44" s="28">
        <f>IFERROR((D44-E44)/E44,"")</f>
        <v/>
      </c>
      <c r="G44" s="27" t="n"/>
      <c r="H44" s="7">
        <f>IFERROR(G44*D44,"")</f>
        <v/>
      </c>
      <c r="I44" s="7">
        <f>IFERROR(IF(F44&gt;=参数配置!$C$15,-H44,C44-H44),"")</f>
        <v/>
      </c>
      <c r="J44" s="29">
        <f>IFERROR(IF(F44&gt;=参数配置!$C$15,"全仓清仓",IF(H44&gt;C44,"卖出超额","正常定投")),"")</f>
        <v/>
      </c>
      <c r="K44" s="30">
        <f>IFERROR(I44,"")</f>
        <v/>
      </c>
      <c r="L44" s="17" t="n"/>
      <c r="M44" s="27" t="n"/>
      <c r="N44" s="31">
        <f>IFERROR(G44+M44,"")</f>
        <v/>
      </c>
      <c r="O44" s="7">
        <f>IFERROR(O43+L44,"")</f>
        <v/>
      </c>
      <c r="P44" s="7">
        <f>IFERROR(-L44,"")</f>
        <v/>
      </c>
      <c r="Q44" s="32" t="n"/>
    </row>
    <row r="45">
      <c r="A45" s="33" t="n"/>
      <c r="B45" s="15" t="n"/>
      <c r="C45" s="7">
        <f>IFERROR(参数配置!$C$8*(B45-$S$3),"")</f>
        <v/>
      </c>
      <c r="D45" s="27" t="n"/>
      <c r="E45" s="27" t="n"/>
      <c r="F45" s="28">
        <f>IFERROR((D45-E45)/E45,"")</f>
        <v/>
      </c>
      <c r="G45" s="27" t="n"/>
      <c r="H45" s="7">
        <f>IFERROR(G45*D45,"")</f>
        <v/>
      </c>
      <c r="I45" s="7">
        <f>IFERROR(IF(F45&gt;=参数配置!$C$15,-H45,C45-H45),"")</f>
        <v/>
      </c>
      <c r="J45" s="29">
        <f>IFERROR(IF(F45&gt;=参数配置!$C$15,"全仓清仓",IF(H45&gt;C45,"卖出超额","正常定投")),"")</f>
        <v/>
      </c>
      <c r="K45" s="30">
        <f>IFERROR(I45,"")</f>
        <v/>
      </c>
      <c r="L45" s="17" t="n"/>
      <c r="M45" s="27" t="n"/>
      <c r="N45" s="31">
        <f>IFERROR(G45+M45,"")</f>
        <v/>
      </c>
      <c r="O45" s="7">
        <f>IFERROR(O44+L45,"")</f>
        <v/>
      </c>
      <c r="P45" s="7">
        <f>IFERROR(-L45,"")</f>
        <v/>
      </c>
      <c r="Q45" s="32" t="n"/>
    </row>
    <row r="46">
      <c r="A46" s="33" t="n"/>
      <c r="B46" s="15" t="n"/>
      <c r="C46" s="7">
        <f>IFERROR(参数配置!$C$8*(B46-$S$3),"")</f>
        <v/>
      </c>
      <c r="D46" s="27" t="n"/>
      <c r="E46" s="27" t="n"/>
      <c r="F46" s="28">
        <f>IFERROR((D46-E46)/E46,"")</f>
        <v/>
      </c>
      <c r="G46" s="27" t="n"/>
      <c r="H46" s="7">
        <f>IFERROR(G46*D46,"")</f>
        <v/>
      </c>
      <c r="I46" s="7">
        <f>IFERROR(IF(F46&gt;=参数配置!$C$15,-H46,C46-H46),"")</f>
        <v/>
      </c>
      <c r="J46" s="29">
        <f>IFERROR(IF(F46&gt;=参数配置!$C$15,"全仓清仓",IF(H46&gt;C46,"卖出超额","正常定投")),"")</f>
        <v/>
      </c>
      <c r="K46" s="30">
        <f>IFERROR(I46,"")</f>
        <v/>
      </c>
      <c r="L46" s="17" t="n"/>
      <c r="M46" s="27" t="n"/>
      <c r="N46" s="31">
        <f>IFERROR(G46+M46,"")</f>
        <v/>
      </c>
      <c r="O46" s="7">
        <f>IFERROR(O45+L46,"")</f>
        <v/>
      </c>
      <c r="P46" s="7">
        <f>IFERROR(-L46,"")</f>
        <v/>
      </c>
      <c r="Q46" s="32" t="n"/>
    </row>
    <row r="47">
      <c r="A47" s="33" t="n"/>
      <c r="B47" s="15" t="n"/>
      <c r="C47" s="7">
        <f>IFERROR(参数配置!$C$8*(B47-$S$3),"")</f>
        <v/>
      </c>
      <c r="D47" s="27" t="n"/>
      <c r="E47" s="27" t="n"/>
      <c r="F47" s="28">
        <f>IFERROR((D47-E47)/E47,"")</f>
        <v/>
      </c>
      <c r="G47" s="27" t="n"/>
      <c r="H47" s="7">
        <f>IFERROR(G47*D47,"")</f>
        <v/>
      </c>
      <c r="I47" s="7">
        <f>IFERROR(IF(F47&gt;=参数配置!$C$15,-H47,C47-H47),"")</f>
        <v/>
      </c>
      <c r="J47" s="29">
        <f>IFERROR(IF(F47&gt;=参数配置!$C$15,"全仓清仓",IF(H47&gt;C47,"卖出超额","正常定投")),"")</f>
        <v/>
      </c>
      <c r="K47" s="30">
        <f>IFERROR(I47,"")</f>
        <v/>
      </c>
      <c r="L47" s="17" t="n"/>
      <c r="M47" s="27" t="n"/>
      <c r="N47" s="31">
        <f>IFERROR(G47+M47,"")</f>
        <v/>
      </c>
      <c r="O47" s="7">
        <f>IFERROR(O46+L47,"")</f>
        <v/>
      </c>
      <c r="P47" s="7">
        <f>IFERROR(-L47,"")</f>
        <v/>
      </c>
      <c r="Q47" s="32" t="n"/>
    </row>
    <row r="48">
      <c r="A48" s="33" t="n"/>
      <c r="B48" s="15" t="n"/>
      <c r="C48" s="7">
        <f>IFERROR(参数配置!$C$8*(B48-$S$3),"")</f>
        <v/>
      </c>
      <c r="D48" s="27" t="n"/>
      <c r="E48" s="27" t="n"/>
      <c r="F48" s="28">
        <f>IFERROR((D48-E48)/E48,"")</f>
        <v/>
      </c>
      <c r="G48" s="27" t="n"/>
      <c r="H48" s="7">
        <f>IFERROR(G48*D48,"")</f>
        <v/>
      </c>
      <c r="I48" s="7">
        <f>IFERROR(IF(F48&gt;=参数配置!$C$15,-H48,C48-H48),"")</f>
        <v/>
      </c>
      <c r="J48" s="29">
        <f>IFERROR(IF(F48&gt;=参数配置!$C$15,"全仓清仓",IF(H48&gt;C48,"卖出超额","正常定投")),"")</f>
        <v/>
      </c>
      <c r="K48" s="30">
        <f>IFERROR(I48,"")</f>
        <v/>
      </c>
      <c r="L48" s="17" t="n"/>
      <c r="M48" s="27" t="n"/>
      <c r="N48" s="31">
        <f>IFERROR(G48+M48,"")</f>
        <v/>
      </c>
      <c r="O48" s="7">
        <f>IFERROR(O47+L48,"")</f>
        <v/>
      </c>
      <c r="P48" s="7">
        <f>IFERROR(-L48,"")</f>
        <v/>
      </c>
      <c r="Q48" s="32" t="n"/>
    </row>
    <row r="49">
      <c r="A49" s="33" t="n"/>
      <c r="B49" s="15" t="n"/>
      <c r="C49" s="7">
        <f>IFERROR(参数配置!$C$8*(B49-$S$3),"")</f>
        <v/>
      </c>
      <c r="D49" s="27" t="n"/>
      <c r="E49" s="27" t="n"/>
      <c r="F49" s="28">
        <f>IFERROR((D49-E49)/E49,"")</f>
        <v/>
      </c>
      <c r="G49" s="27" t="n"/>
      <c r="H49" s="7">
        <f>IFERROR(G49*D49,"")</f>
        <v/>
      </c>
      <c r="I49" s="7">
        <f>IFERROR(IF(F49&gt;=参数配置!$C$15,-H49,C49-H49),"")</f>
        <v/>
      </c>
      <c r="J49" s="29">
        <f>IFERROR(IF(F49&gt;=参数配置!$C$15,"全仓清仓",IF(H49&gt;C49,"卖出超额","正常定投")),"")</f>
        <v/>
      </c>
      <c r="K49" s="30">
        <f>IFERROR(I49,"")</f>
        <v/>
      </c>
      <c r="L49" s="17" t="n"/>
      <c r="M49" s="27" t="n"/>
      <c r="N49" s="31">
        <f>IFERROR(G49+M49,"")</f>
        <v/>
      </c>
      <c r="O49" s="7">
        <f>IFERROR(O48+L49,"")</f>
        <v/>
      </c>
      <c r="P49" s="7">
        <f>IFERROR(-L49,"")</f>
        <v/>
      </c>
      <c r="Q49" s="32" t="n"/>
    </row>
    <row r="50">
      <c r="A50" s="33" t="n"/>
      <c r="B50" s="15" t="n"/>
      <c r="C50" s="7">
        <f>IFERROR(参数配置!$C$8*(B50-$S$3),"")</f>
        <v/>
      </c>
      <c r="D50" s="27" t="n"/>
      <c r="E50" s="27" t="n"/>
      <c r="F50" s="28">
        <f>IFERROR((D50-E50)/E50,"")</f>
        <v/>
      </c>
      <c r="G50" s="27" t="n"/>
      <c r="H50" s="7">
        <f>IFERROR(G50*D50,"")</f>
        <v/>
      </c>
      <c r="I50" s="7">
        <f>IFERROR(IF(F50&gt;=参数配置!$C$15,-H50,C50-H50),"")</f>
        <v/>
      </c>
      <c r="J50" s="29">
        <f>IFERROR(IF(F50&gt;=参数配置!$C$15,"全仓清仓",IF(H50&gt;C50,"卖出超额","正常定投")),"")</f>
        <v/>
      </c>
      <c r="K50" s="30">
        <f>IFERROR(I50,"")</f>
        <v/>
      </c>
      <c r="L50" s="17" t="n"/>
      <c r="M50" s="27" t="n"/>
      <c r="N50" s="31">
        <f>IFERROR(G50+M50,"")</f>
        <v/>
      </c>
      <c r="O50" s="7">
        <f>IFERROR(O49+L50,"")</f>
        <v/>
      </c>
      <c r="P50" s="7">
        <f>IFERROR(-L50,"")</f>
        <v/>
      </c>
      <c r="Q50" s="32" t="n"/>
    </row>
    <row r="51">
      <c r="A51" s="33" t="n"/>
      <c r="B51" s="15" t="n"/>
      <c r="C51" s="7">
        <f>IFERROR(参数配置!$C$8*(B51-$S$3),"")</f>
        <v/>
      </c>
      <c r="D51" s="27" t="n"/>
      <c r="E51" s="27" t="n"/>
      <c r="F51" s="28">
        <f>IFERROR((D51-E51)/E51,"")</f>
        <v/>
      </c>
      <c r="G51" s="27" t="n"/>
      <c r="H51" s="7">
        <f>IFERROR(G51*D51,"")</f>
        <v/>
      </c>
      <c r="I51" s="7">
        <f>IFERROR(IF(F51&gt;=参数配置!$C$15,-H51,C51-H51),"")</f>
        <v/>
      </c>
      <c r="J51" s="29">
        <f>IFERROR(IF(F51&gt;=参数配置!$C$15,"全仓清仓",IF(H51&gt;C51,"卖出超额","正常定投")),"")</f>
        <v/>
      </c>
      <c r="K51" s="30">
        <f>IFERROR(I51,"")</f>
        <v/>
      </c>
      <c r="L51" s="17" t="n"/>
      <c r="M51" s="27" t="n"/>
      <c r="N51" s="31">
        <f>IFERROR(G51+M51,"")</f>
        <v/>
      </c>
      <c r="O51" s="7">
        <f>IFERROR(O50+L51,"")</f>
        <v/>
      </c>
      <c r="P51" s="7">
        <f>IFERROR(-L51,"")</f>
        <v/>
      </c>
      <c r="Q51" s="32" t="n"/>
    </row>
    <row r="52">
      <c r="A52" s="33" t="n"/>
      <c r="B52" s="15" t="n"/>
      <c r="C52" s="7">
        <f>IFERROR(参数配置!$C$8*(B52-$S$3),"")</f>
        <v/>
      </c>
      <c r="D52" s="27" t="n"/>
      <c r="E52" s="27" t="n"/>
      <c r="F52" s="28">
        <f>IFERROR((D52-E52)/E52,"")</f>
        <v/>
      </c>
      <c r="G52" s="27" t="n"/>
      <c r="H52" s="7">
        <f>IFERROR(G52*D52,"")</f>
        <v/>
      </c>
      <c r="I52" s="7">
        <f>IFERROR(IF(F52&gt;=参数配置!$C$15,-H52,C52-H52),"")</f>
        <v/>
      </c>
      <c r="J52" s="29">
        <f>IFERROR(IF(F52&gt;=参数配置!$C$15,"全仓清仓",IF(H52&gt;C52,"卖出超额","正常定投")),"")</f>
        <v/>
      </c>
      <c r="K52" s="30">
        <f>IFERROR(I52,"")</f>
        <v/>
      </c>
      <c r="L52" s="17" t="n"/>
      <c r="M52" s="27" t="n"/>
      <c r="N52" s="31">
        <f>IFERROR(G52+M52,"")</f>
        <v/>
      </c>
      <c r="O52" s="7">
        <f>IFERROR(O51+L52,"")</f>
        <v/>
      </c>
      <c r="P52" s="7">
        <f>IFERROR(-L52,"")</f>
        <v/>
      </c>
      <c r="Q52" s="32" t="n"/>
    </row>
    <row r="53">
      <c r="A53" s="33" t="n"/>
      <c r="B53" s="15" t="n"/>
      <c r="C53" s="7">
        <f>IFERROR(参数配置!$C$8*(B53-$S$3),"")</f>
        <v/>
      </c>
      <c r="D53" s="27" t="n"/>
      <c r="E53" s="27" t="n"/>
      <c r="F53" s="28">
        <f>IFERROR((D53-E53)/E53,"")</f>
        <v/>
      </c>
      <c r="G53" s="27" t="n"/>
      <c r="H53" s="7">
        <f>IFERROR(G53*D53,"")</f>
        <v/>
      </c>
      <c r="I53" s="7">
        <f>IFERROR(IF(F53&gt;=参数配置!$C$15,-H53,C53-H53),"")</f>
        <v/>
      </c>
      <c r="J53" s="29">
        <f>IFERROR(IF(F53&gt;=参数配置!$C$15,"全仓清仓",IF(H53&gt;C53,"卖出超额","正常定投")),"")</f>
        <v/>
      </c>
      <c r="K53" s="30">
        <f>IFERROR(I53,"")</f>
        <v/>
      </c>
      <c r="L53" s="17" t="n"/>
      <c r="M53" s="27" t="n"/>
      <c r="N53" s="31">
        <f>IFERROR(G53+M53,"")</f>
        <v/>
      </c>
      <c r="O53" s="7">
        <f>IFERROR(O52+L53,"")</f>
        <v/>
      </c>
      <c r="P53" s="7">
        <f>IFERROR(-L53,"")</f>
        <v/>
      </c>
      <c r="Q53" s="32" t="n"/>
    </row>
    <row r="54">
      <c r="A54" s="33" t="n"/>
      <c r="B54" s="15" t="n"/>
      <c r="C54" s="7">
        <f>IFERROR(参数配置!$C$8*(B54-$S$3),"")</f>
        <v/>
      </c>
      <c r="D54" s="27" t="n"/>
      <c r="E54" s="27" t="n"/>
      <c r="F54" s="28">
        <f>IFERROR((D54-E54)/E54,"")</f>
        <v/>
      </c>
      <c r="G54" s="27" t="n"/>
      <c r="H54" s="7">
        <f>IFERROR(G54*D54,"")</f>
        <v/>
      </c>
      <c r="I54" s="7">
        <f>IFERROR(IF(F54&gt;=参数配置!$C$15,-H54,C54-H54),"")</f>
        <v/>
      </c>
      <c r="J54" s="29">
        <f>IFERROR(IF(F54&gt;=参数配置!$C$15,"全仓清仓",IF(H54&gt;C54,"卖出超额","正常定投")),"")</f>
        <v/>
      </c>
      <c r="K54" s="30">
        <f>IFERROR(I54,"")</f>
        <v/>
      </c>
      <c r="L54" s="17" t="n"/>
      <c r="M54" s="27" t="n"/>
      <c r="N54" s="31">
        <f>IFERROR(G54+M54,"")</f>
        <v/>
      </c>
      <c r="O54" s="7">
        <f>IFERROR(O53+L54,"")</f>
        <v/>
      </c>
      <c r="P54" s="7">
        <f>IFERROR(-L54,"")</f>
        <v/>
      </c>
      <c r="Q54" s="32" t="n"/>
    </row>
    <row r="55">
      <c r="A55" s="33" t="n"/>
      <c r="B55" s="15" t="n"/>
      <c r="C55" s="7">
        <f>IFERROR(参数配置!$C$8*(B55-$S$3),"")</f>
        <v/>
      </c>
      <c r="D55" s="27" t="n"/>
      <c r="E55" s="27" t="n"/>
      <c r="F55" s="28">
        <f>IFERROR((D55-E55)/E55,"")</f>
        <v/>
      </c>
      <c r="G55" s="27" t="n"/>
      <c r="H55" s="7">
        <f>IFERROR(G55*D55,"")</f>
        <v/>
      </c>
      <c r="I55" s="7">
        <f>IFERROR(IF(F55&gt;=参数配置!$C$15,-H55,C55-H55),"")</f>
        <v/>
      </c>
      <c r="J55" s="29">
        <f>IFERROR(IF(F55&gt;=参数配置!$C$15,"全仓清仓",IF(H55&gt;C55,"卖出超额","正常定投")),"")</f>
        <v/>
      </c>
      <c r="K55" s="30">
        <f>IFERROR(I55,"")</f>
        <v/>
      </c>
      <c r="L55" s="17" t="n"/>
      <c r="M55" s="27" t="n"/>
      <c r="N55" s="31">
        <f>IFERROR(G55+M55,"")</f>
        <v/>
      </c>
      <c r="O55" s="7">
        <f>IFERROR(O54+L55,"")</f>
        <v/>
      </c>
      <c r="P55" s="7">
        <f>IFERROR(-L55,"")</f>
        <v/>
      </c>
      <c r="Q55" s="32" t="n"/>
    </row>
    <row r="56">
      <c r="A56" s="33" t="n"/>
      <c r="B56" s="15" t="n"/>
      <c r="C56" s="7">
        <f>IFERROR(参数配置!$C$8*(B56-$S$3),"")</f>
        <v/>
      </c>
      <c r="D56" s="27" t="n"/>
      <c r="E56" s="27" t="n"/>
      <c r="F56" s="28">
        <f>IFERROR((D56-E56)/E56,"")</f>
        <v/>
      </c>
      <c r="G56" s="27" t="n"/>
      <c r="H56" s="7">
        <f>IFERROR(G56*D56,"")</f>
        <v/>
      </c>
      <c r="I56" s="7">
        <f>IFERROR(IF(F56&gt;=参数配置!$C$15,-H56,C56-H56),"")</f>
        <v/>
      </c>
      <c r="J56" s="29">
        <f>IFERROR(IF(F56&gt;=参数配置!$C$15,"全仓清仓",IF(H56&gt;C56,"卖出超额","正常定投")),"")</f>
        <v/>
      </c>
      <c r="K56" s="30">
        <f>IFERROR(I56,"")</f>
        <v/>
      </c>
      <c r="L56" s="17" t="n"/>
      <c r="M56" s="27" t="n"/>
      <c r="N56" s="31">
        <f>IFERROR(G56+M56,"")</f>
        <v/>
      </c>
      <c r="O56" s="7">
        <f>IFERROR(O55+L56,"")</f>
        <v/>
      </c>
      <c r="P56" s="7">
        <f>IFERROR(-L56,"")</f>
        <v/>
      </c>
      <c r="Q56" s="32" t="n"/>
    </row>
    <row r="57">
      <c r="A57" s="33" t="n"/>
      <c r="B57" s="15" t="n"/>
      <c r="C57" s="7">
        <f>IFERROR(参数配置!$C$8*(B57-$S$3),"")</f>
        <v/>
      </c>
      <c r="D57" s="27" t="n"/>
      <c r="E57" s="27" t="n"/>
      <c r="F57" s="28">
        <f>IFERROR((D57-E57)/E57,"")</f>
        <v/>
      </c>
      <c r="G57" s="27" t="n"/>
      <c r="H57" s="7">
        <f>IFERROR(G57*D57,"")</f>
        <v/>
      </c>
      <c r="I57" s="7">
        <f>IFERROR(IF(F57&gt;=参数配置!$C$15,-H57,C57-H57),"")</f>
        <v/>
      </c>
      <c r="J57" s="29">
        <f>IFERROR(IF(F57&gt;=参数配置!$C$15,"全仓清仓",IF(H57&gt;C57,"卖出超额","正常定投")),"")</f>
        <v/>
      </c>
      <c r="K57" s="30">
        <f>IFERROR(I57,"")</f>
        <v/>
      </c>
      <c r="L57" s="17" t="n"/>
      <c r="M57" s="27" t="n"/>
      <c r="N57" s="31">
        <f>IFERROR(G57+M57,"")</f>
        <v/>
      </c>
      <c r="O57" s="7">
        <f>IFERROR(O56+L57,"")</f>
        <v/>
      </c>
      <c r="P57" s="7">
        <f>IFERROR(-L57,"")</f>
        <v/>
      </c>
      <c r="Q57" s="32" t="n"/>
    </row>
    <row r="58">
      <c r="A58" s="33" t="n"/>
      <c r="B58" s="15" t="n"/>
      <c r="C58" s="7">
        <f>IFERROR(参数配置!$C$8*(B58-$S$3),"")</f>
        <v/>
      </c>
      <c r="D58" s="27" t="n"/>
      <c r="E58" s="27" t="n"/>
      <c r="F58" s="28">
        <f>IFERROR((D58-E58)/E58,"")</f>
        <v/>
      </c>
      <c r="G58" s="27" t="n"/>
      <c r="H58" s="7">
        <f>IFERROR(G58*D58,"")</f>
        <v/>
      </c>
      <c r="I58" s="7">
        <f>IFERROR(IF(F58&gt;=参数配置!$C$15,-H58,C58-H58),"")</f>
        <v/>
      </c>
      <c r="J58" s="29">
        <f>IFERROR(IF(F58&gt;=参数配置!$C$15,"全仓清仓",IF(H58&gt;C58,"卖出超额","正常定投")),"")</f>
        <v/>
      </c>
      <c r="K58" s="30">
        <f>IFERROR(I58,"")</f>
        <v/>
      </c>
      <c r="L58" s="17" t="n"/>
      <c r="M58" s="27" t="n"/>
      <c r="N58" s="31">
        <f>IFERROR(G58+M58,"")</f>
        <v/>
      </c>
      <c r="O58" s="7">
        <f>IFERROR(O57+L58,"")</f>
        <v/>
      </c>
      <c r="P58" s="7">
        <f>IFERROR(-L58,"")</f>
        <v/>
      </c>
      <c r="Q58" s="32" t="n"/>
    </row>
    <row r="59">
      <c r="A59" s="33" t="n"/>
      <c r="B59" s="15" t="n"/>
      <c r="C59" s="7">
        <f>IFERROR(参数配置!$C$8*(B59-$S$3),"")</f>
        <v/>
      </c>
      <c r="D59" s="27" t="n"/>
      <c r="E59" s="27" t="n"/>
      <c r="F59" s="28">
        <f>IFERROR((D59-E59)/E59,"")</f>
        <v/>
      </c>
      <c r="G59" s="27" t="n"/>
      <c r="H59" s="7">
        <f>IFERROR(G59*D59,"")</f>
        <v/>
      </c>
      <c r="I59" s="7">
        <f>IFERROR(IF(F59&gt;=参数配置!$C$15,-H59,C59-H59),"")</f>
        <v/>
      </c>
      <c r="J59" s="29">
        <f>IFERROR(IF(F59&gt;=参数配置!$C$15,"全仓清仓",IF(H59&gt;C59,"卖出超额","正常定投")),"")</f>
        <v/>
      </c>
      <c r="K59" s="30">
        <f>IFERROR(I59,"")</f>
        <v/>
      </c>
      <c r="L59" s="17" t="n"/>
      <c r="M59" s="27" t="n"/>
      <c r="N59" s="31">
        <f>IFERROR(G59+M59,"")</f>
        <v/>
      </c>
      <c r="O59" s="7">
        <f>IFERROR(O58+L59,"")</f>
        <v/>
      </c>
      <c r="P59" s="7">
        <f>IFERROR(-L59,"")</f>
        <v/>
      </c>
      <c r="Q59" s="32" t="n"/>
    </row>
    <row r="60">
      <c r="A60" s="33" t="n"/>
      <c r="B60" s="15" t="n"/>
      <c r="C60" s="7">
        <f>IFERROR(参数配置!$C$8*(B60-$S$3),"")</f>
        <v/>
      </c>
      <c r="D60" s="27" t="n"/>
      <c r="E60" s="27" t="n"/>
      <c r="F60" s="28">
        <f>IFERROR((D60-E60)/E60,"")</f>
        <v/>
      </c>
      <c r="G60" s="27" t="n"/>
      <c r="H60" s="7">
        <f>IFERROR(G60*D60,"")</f>
        <v/>
      </c>
      <c r="I60" s="7">
        <f>IFERROR(IF(F60&gt;=参数配置!$C$15,-H60,C60-H60),"")</f>
        <v/>
      </c>
      <c r="J60" s="29">
        <f>IFERROR(IF(F60&gt;=参数配置!$C$15,"全仓清仓",IF(H60&gt;C60,"卖出超额","正常定投")),"")</f>
        <v/>
      </c>
      <c r="K60" s="30">
        <f>IFERROR(I60,"")</f>
        <v/>
      </c>
      <c r="L60" s="17" t="n"/>
      <c r="M60" s="27" t="n"/>
      <c r="N60" s="31">
        <f>IFERROR(G60+M60,"")</f>
        <v/>
      </c>
      <c r="O60" s="7">
        <f>IFERROR(O59+L60,"")</f>
        <v/>
      </c>
      <c r="P60" s="7">
        <f>IFERROR(-L60,"")</f>
        <v/>
      </c>
      <c r="Q60" s="32" t="n"/>
    </row>
    <row r="61">
      <c r="A61" s="33" t="n"/>
      <c r="B61" s="15" t="n"/>
      <c r="C61" s="7">
        <f>IFERROR(参数配置!$C$8*(B61-$S$3),"")</f>
        <v/>
      </c>
      <c r="D61" s="27" t="n"/>
      <c r="E61" s="27" t="n"/>
      <c r="F61" s="28">
        <f>IFERROR((D61-E61)/E61,"")</f>
        <v/>
      </c>
      <c r="G61" s="27" t="n"/>
      <c r="H61" s="7">
        <f>IFERROR(G61*D61,"")</f>
        <v/>
      </c>
      <c r="I61" s="7">
        <f>IFERROR(IF(F61&gt;=参数配置!$C$15,-H61,C61-H61),"")</f>
        <v/>
      </c>
      <c r="J61" s="29">
        <f>IFERROR(IF(F61&gt;=参数配置!$C$15,"全仓清仓",IF(H61&gt;C61,"卖出超额","正常定投")),"")</f>
        <v/>
      </c>
      <c r="K61" s="30">
        <f>IFERROR(I61,"")</f>
        <v/>
      </c>
      <c r="L61" s="17" t="n"/>
      <c r="M61" s="27" t="n"/>
      <c r="N61" s="31">
        <f>IFERROR(G61+M61,"")</f>
        <v/>
      </c>
      <c r="O61" s="7">
        <f>IFERROR(O60+L61,"")</f>
        <v/>
      </c>
      <c r="P61" s="7">
        <f>IFERROR(-L61,"")</f>
        <v/>
      </c>
      <c r="Q61" s="32" t="n"/>
    </row>
    <row r="62">
      <c r="A62" s="33" t="n"/>
      <c r="B62" s="15" t="n"/>
      <c r="C62" s="7">
        <f>IFERROR(参数配置!$C$8*(B62-$S$3),"")</f>
        <v/>
      </c>
      <c r="D62" s="27" t="n"/>
      <c r="E62" s="27" t="n"/>
      <c r="F62" s="28">
        <f>IFERROR((D62-E62)/E62,"")</f>
        <v/>
      </c>
      <c r="G62" s="27" t="n"/>
      <c r="H62" s="7">
        <f>IFERROR(G62*D62,"")</f>
        <v/>
      </c>
      <c r="I62" s="7">
        <f>IFERROR(IF(F62&gt;=参数配置!$C$15,-H62,C62-H62),"")</f>
        <v/>
      </c>
      <c r="J62" s="29">
        <f>IFERROR(IF(F62&gt;=参数配置!$C$15,"全仓清仓",IF(H62&gt;C62,"卖出超额","正常定投")),"")</f>
        <v/>
      </c>
      <c r="K62" s="30">
        <f>IFERROR(I62,"")</f>
        <v/>
      </c>
      <c r="L62" s="17" t="n"/>
      <c r="M62" s="27" t="n"/>
      <c r="N62" s="31">
        <f>IFERROR(G62+M62,"")</f>
        <v/>
      </c>
      <c r="O62" s="7">
        <f>IFERROR(O61+L62,"")</f>
        <v/>
      </c>
      <c r="P62" s="7">
        <f>IFERROR(-L62,"")</f>
        <v/>
      </c>
      <c r="Q62" s="32" t="n"/>
    </row>
    <row r="63">
      <c r="A63" s="33" t="n"/>
      <c r="B63" s="15" t="n"/>
      <c r="C63" s="7">
        <f>IFERROR(参数配置!$C$8*(B63-$S$3),"")</f>
        <v/>
      </c>
      <c r="D63" s="27" t="n"/>
      <c r="E63" s="27" t="n"/>
      <c r="F63" s="28">
        <f>IFERROR((D63-E63)/E63,"")</f>
        <v/>
      </c>
      <c r="G63" s="27" t="n"/>
      <c r="H63" s="7">
        <f>IFERROR(G63*D63,"")</f>
        <v/>
      </c>
      <c r="I63" s="7">
        <f>IFERROR(IF(F63&gt;=参数配置!$C$15,-H63,C63-H63),"")</f>
        <v/>
      </c>
      <c r="J63" s="29">
        <f>IFERROR(IF(F63&gt;=参数配置!$C$15,"全仓清仓",IF(H63&gt;C63,"卖出超额","正常定投")),"")</f>
        <v/>
      </c>
      <c r="K63" s="30">
        <f>IFERROR(I63,"")</f>
        <v/>
      </c>
      <c r="L63" s="17" t="n"/>
      <c r="M63" s="27" t="n"/>
      <c r="N63" s="31">
        <f>IFERROR(G63+M63,"")</f>
        <v/>
      </c>
      <c r="O63" s="7">
        <f>IFERROR(O62+L63,"")</f>
        <v/>
      </c>
      <c r="P63" s="7">
        <f>IFERROR(-L63,"")</f>
        <v/>
      </c>
      <c r="Q63" s="32" t="n"/>
    </row>
    <row r="64">
      <c r="A64" s="33" t="n"/>
      <c r="B64" s="15" t="n"/>
      <c r="C64" s="7">
        <f>IFERROR(参数配置!$C$8*(B64-$S$3),"")</f>
        <v/>
      </c>
      <c r="D64" s="27" t="n"/>
      <c r="E64" s="27" t="n"/>
      <c r="F64" s="28">
        <f>IFERROR((D64-E64)/E64,"")</f>
        <v/>
      </c>
      <c r="G64" s="27" t="n"/>
      <c r="H64" s="7">
        <f>IFERROR(G64*D64,"")</f>
        <v/>
      </c>
      <c r="I64" s="7">
        <f>IFERROR(IF(F64&gt;=参数配置!$C$15,-H64,C64-H64),"")</f>
        <v/>
      </c>
      <c r="J64" s="29">
        <f>IFERROR(IF(F64&gt;=参数配置!$C$15,"全仓清仓",IF(H64&gt;C64,"卖出超额","正常定投")),"")</f>
        <v/>
      </c>
      <c r="K64" s="30">
        <f>IFERROR(I64,"")</f>
        <v/>
      </c>
      <c r="L64" s="17" t="n"/>
      <c r="M64" s="27" t="n"/>
      <c r="N64" s="31">
        <f>IFERROR(G64+M64,"")</f>
        <v/>
      </c>
      <c r="O64" s="7">
        <f>IFERROR(O63+L64,"")</f>
        <v/>
      </c>
      <c r="P64" s="7">
        <f>IFERROR(-L64,"")</f>
        <v/>
      </c>
      <c r="Q64" s="32" t="n"/>
    </row>
    <row r="65">
      <c r="A65" s="33" t="n"/>
      <c r="B65" s="15" t="n"/>
      <c r="C65" s="7">
        <f>IFERROR(参数配置!$C$8*(B65-$S$3),"")</f>
        <v/>
      </c>
      <c r="D65" s="27" t="n"/>
      <c r="E65" s="27" t="n"/>
      <c r="F65" s="28">
        <f>IFERROR((D65-E65)/E65,"")</f>
        <v/>
      </c>
      <c r="G65" s="27" t="n"/>
      <c r="H65" s="7">
        <f>IFERROR(G65*D65,"")</f>
        <v/>
      </c>
      <c r="I65" s="7">
        <f>IFERROR(IF(F65&gt;=参数配置!$C$15,-H65,C65-H65),"")</f>
        <v/>
      </c>
      <c r="J65" s="29">
        <f>IFERROR(IF(F65&gt;=参数配置!$C$15,"全仓清仓",IF(H65&gt;C65,"卖出超额","正常定投")),"")</f>
        <v/>
      </c>
      <c r="K65" s="30">
        <f>IFERROR(I65,"")</f>
        <v/>
      </c>
      <c r="L65" s="17" t="n"/>
      <c r="M65" s="27" t="n"/>
      <c r="N65" s="31">
        <f>IFERROR(G65+M65,"")</f>
        <v/>
      </c>
      <c r="O65" s="7">
        <f>IFERROR(O64+L65,"")</f>
        <v/>
      </c>
      <c r="P65" s="7">
        <f>IFERROR(-L65,"")</f>
        <v/>
      </c>
      <c r="Q65" s="32" t="n"/>
    </row>
    <row r="66">
      <c r="A66" s="33" t="n"/>
      <c r="B66" s="15" t="n"/>
      <c r="C66" s="7">
        <f>IFERROR(参数配置!$C$8*(B66-$S$3),"")</f>
        <v/>
      </c>
      <c r="D66" s="27" t="n"/>
      <c r="E66" s="27" t="n"/>
      <c r="F66" s="28">
        <f>IFERROR((D66-E66)/E66,"")</f>
        <v/>
      </c>
      <c r="G66" s="27" t="n"/>
      <c r="H66" s="7">
        <f>IFERROR(G66*D66,"")</f>
        <v/>
      </c>
      <c r="I66" s="7">
        <f>IFERROR(IF(F66&gt;=参数配置!$C$15,-H66,C66-H66),"")</f>
        <v/>
      </c>
      <c r="J66" s="29">
        <f>IFERROR(IF(F66&gt;=参数配置!$C$15,"全仓清仓",IF(H66&gt;C66,"卖出超额","正常定投")),"")</f>
        <v/>
      </c>
      <c r="K66" s="30">
        <f>IFERROR(I66,"")</f>
        <v/>
      </c>
      <c r="L66" s="17" t="n"/>
      <c r="M66" s="27" t="n"/>
      <c r="N66" s="31">
        <f>IFERROR(G66+M66,"")</f>
        <v/>
      </c>
      <c r="O66" s="7">
        <f>IFERROR(O65+L66,"")</f>
        <v/>
      </c>
      <c r="P66" s="7">
        <f>IFERROR(-L66,"")</f>
        <v/>
      </c>
      <c r="Q66" s="32" t="n"/>
    </row>
    <row r="67">
      <c r="A67" s="33" t="n"/>
      <c r="B67" s="15" t="n"/>
      <c r="C67" s="7">
        <f>IFERROR(参数配置!$C$8*(B67-$S$3),"")</f>
        <v/>
      </c>
      <c r="D67" s="27" t="n"/>
      <c r="E67" s="27" t="n"/>
      <c r="F67" s="28">
        <f>IFERROR((D67-E67)/E67,"")</f>
        <v/>
      </c>
      <c r="G67" s="27" t="n"/>
      <c r="H67" s="7">
        <f>IFERROR(G67*D67,"")</f>
        <v/>
      </c>
      <c r="I67" s="7">
        <f>IFERROR(IF(F67&gt;=参数配置!$C$15,-H67,C67-H67),"")</f>
        <v/>
      </c>
      <c r="J67" s="29">
        <f>IFERROR(IF(F67&gt;=参数配置!$C$15,"全仓清仓",IF(H67&gt;C67,"卖出超额","正常定投")),"")</f>
        <v/>
      </c>
      <c r="K67" s="30">
        <f>IFERROR(I67,"")</f>
        <v/>
      </c>
      <c r="L67" s="17" t="n"/>
      <c r="M67" s="27" t="n"/>
      <c r="N67" s="31">
        <f>IFERROR(G67+M67,"")</f>
        <v/>
      </c>
      <c r="O67" s="7">
        <f>IFERROR(O66+L67,"")</f>
        <v/>
      </c>
      <c r="P67" s="7">
        <f>IFERROR(-L67,"")</f>
        <v/>
      </c>
      <c r="Q67" s="32" t="n"/>
    </row>
    <row r="68">
      <c r="A68" s="33" t="n"/>
      <c r="B68" s="15" t="n"/>
      <c r="C68" s="7">
        <f>IFERROR(参数配置!$C$8*(B68-$S$3),"")</f>
        <v/>
      </c>
      <c r="D68" s="27" t="n"/>
      <c r="E68" s="27" t="n"/>
      <c r="F68" s="28">
        <f>IFERROR((D68-E68)/E68,"")</f>
        <v/>
      </c>
      <c r="G68" s="27" t="n"/>
      <c r="H68" s="7">
        <f>IFERROR(G68*D68,"")</f>
        <v/>
      </c>
      <c r="I68" s="7">
        <f>IFERROR(IF(F68&gt;=参数配置!$C$15,-H68,C68-H68),"")</f>
        <v/>
      </c>
      <c r="J68" s="29">
        <f>IFERROR(IF(F68&gt;=参数配置!$C$15,"全仓清仓",IF(H68&gt;C68,"卖出超额","正常定投")),"")</f>
        <v/>
      </c>
      <c r="K68" s="30">
        <f>IFERROR(I68,"")</f>
        <v/>
      </c>
      <c r="L68" s="17" t="n"/>
      <c r="M68" s="27" t="n"/>
      <c r="N68" s="31">
        <f>IFERROR(G68+M68,"")</f>
        <v/>
      </c>
      <c r="O68" s="7">
        <f>IFERROR(O67+L68,"")</f>
        <v/>
      </c>
      <c r="P68" s="7">
        <f>IFERROR(-L68,"")</f>
        <v/>
      </c>
      <c r="Q68" s="32" t="n"/>
    </row>
    <row r="69">
      <c r="A69" s="33" t="n"/>
      <c r="B69" s="15" t="n"/>
      <c r="C69" s="7">
        <f>IFERROR(参数配置!$C$8*(B69-$S$3),"")</f>
        <v/>
      </c>
      <c r="D69" s="27" t="n"/>
      <c r="E69" s="27" t="n"/>
      <c r="F69" s="28">
        <f>IFERROR((D69-E69)/E69,"")</f>
        <v/>
      </c>
      <c r="G69" s="27" t="n"/>
      <c r="H69" s="7">
        <f>IFERROR(G69*D69,"")</f>
        <v/>
      </c>
      <c r="I69" s="7">
        <f>IFERROR(IF(F69&gt;=参数配置!$C$15,-H69,C69-H69),"")</f>
        <v/>
      </c>
      <c r="J69" s="29">
        <f>IFERROR(IF(F69&gt;=参数配置!$C$15,"全仓清仓",IF(H69&gt;C69,"卖出超额","正常定投")),"")</f>
        <v/>
      </c>
      <c r="K69" s="30">
        <f>IFERROR(I69,"")</f>
        <v/>
      </c>
      <c r="L69" s="17" t="n"/>
      <c r="M69" s="27" t="n"/>
      <c r="N69" s="31">
        <f>IFERROR(G69+M69,"")</f>
        <v/>
      </c>
      <c r="O69" s="7">
        <f>IFERROR(O68+L69,"")</f>
        <v/>
      </c>
      <c r="P69" s="7">
        <f>IFERROR(-L69,"")</f>
        <v/>
      </c>
      <c r="Q69" s="32" t="n"/>
    </row>
    <row r="70">
      <c r="A70" s="33" t="n"/>
      <c r="B70" s="15" t="n"/>
      <c r="C70" s="7">
        <f>IFERROR(参数配置!$C$8*(B70-$S$3),"")</f>
        <v/>
      </c>
      <c r="D70" s="27" t="n"/>
      <c r="E70" s="27" t="n"/>
      <c r="F70" s="28">
        <f>IFERROR((D70-E70)/E70,"")</f>
        <v/>
      </c>
      <c r="G70" s="27" t="n"/>
      <c r="H70" s="7">
        <f>IFERROR(G70*D70,"")</f>
        <v/>
      </c>
      <c r="I70" s="7">
        <f>IFERROR(IF(F70&gt;=参数配置!$C$15,-H70,C70-H70),"")</f>
        <v/>
      </c>
      <c r="J70" s="29">
        <f>IFERROR(IF(F70&gt;=参数配置!$C$15,"全仓清仓",IF(H70&gt;C70,"卖出超额","正常定投")),"")</f>
        <v/>
      </c>
      <c r="K70" s="30">
        <f>IFERROR(I70,"")</f>
        <v/>
      </c>
      <c r="L70" s="17" t="n"/>
      <c r="M70" s="27" t="n"/>
      <c r="N70" s="31">
        <f>IFERROR(G70+M70,"")</f>
        <v/>
      </c>
      <c r="O70" s="7">
        <f>IFERROR(O69+L70,"")</f>
        <v/>
      </c>
      <c r="P70" s="7">
        <f>IFERROR(-L70,"")</f>
        <v/>
      </c>
      <c r="Q70" s="32" t="n"/>
    </row>
    <row r="71">
      <c r="A71" s="33" t="n"/>
      <c r="B71" s="15" t="n"/>
      <c r="C71" s="7">
        <f>IFERROR(参数配置!$C$8*(B71-$S$3),"")</f>
        <v/>
      </c>
      <c r="D71" s="27" t="n"/>
      <c r="E71" s="27" t="n"/>
      <c r="F71" s="28">
        <f>IFERROR((D71-E71)/E71,"")</f>
        <v/>
      </c>
      <c r="G71" s="27" t="n"/>
      <c r="H71" s="7">
        <f>IFERROR(G71*D71,"")</f>
        <v/>
      </c>
      <c r="I71" s="7">
        <f>IFERROR(IF(F71&gt;=参数配置!$C$15,-H71,C71-H71),"")</f>
        <v/>
      </c>
      <c r="J71" s="29">
        <f>IFERROR(IF(F71&gt;=参数配置!$C$15,"全仓清仓",IF(H71&gt;C71,"卖出超额","正常定投")),"")</f>
        <v/>
      </c>
      <c r="K71" s="30">
        <f>IFERROR(I71,"")</f>
        <v/>
      </c>
      <c r="L71" s="17" t="n"/>
      <c r="M71" s="27" t="n"/>
      <c r="N71" s="31">
        <f>IFERROR(G71+M71,"")</f>
        <v/>
      </c>
      <c r="O71" s="7">
        <f>IFERROR(O70+L71,"")</f>
        <v/>
      </c>
      <c r="P71" s="7">
        <f>IFERROR(-L71,"")</f>
        <v/>
      </c>
      <c r="Q71" s="32" t="n"/>
    </row>
    <row r="72">
      <c r="A72" s="33" t="n"/>
      <c r="B72" s="15" t="n"/>
      <c r="C72" s="7">
        <f>IFERROR(参数配置!$C$8*(B72-$S$3),"")</f>
        <v/>
      </c>
      <c r="D72" s="27" t="n"/>
      <c r="E72" s="27" t="n"/>
      <c r="F72" s="28">
        <f>IFERROR((D72-E72)/E72,"")</f>
        <v/>
      </c>
      <c r="G72" s="27" t="n"/>
      <c r="H72" s="7">
        <f>IFERROR(G72*D72,"")</f>
        <v/>
      </c>
      <c r="I72" s="7">
        <f>IFERROR(IF(F72&gt;=参数配置!$C$15,-H72,C72-H72),"")</f>
        <v/>
      </c>
      <c r="J72" s="29">
        <f>IFERROR(IF(F72&gt;=参数配置!$C$15,"全仓清仓",IF(H72&gt;C72,"卖出超额","正常定投")),"")</f>
        <v/>
      </c>
      <c r="K72" s="30">
        <f>IFERROR(I72,"")</f>
        <v/>
      </c>
      <c r="L72" s="17" t="n"/>
      <c r="M72" s="27" t="n"/>
      <c r="N72" s="31">
        <f>IFERROR(G72+M72,"")</f>
        <v/>
      </c>
      <c r="O72" s="7">
        <f>IFERROR(O71+L72,"")</f>
        <v/>
      </c>
      <c r="P72" s="7">
        <f>IFERROR(-L72,"")</f>
        <v/>
      </c>
      <c r="Q72" s="32" t="n"/>
    </row>
    <row r="73">
      <c r="A73" s="33" t="n"/>
      <c r="B73" s="15" t="n"/>
      <c r="C73" s="7">
        <f>IFERROR(参数配置!$C$8*(B73-$S$3),"")</f>
        <v/>
      </c>
      <c r="D73" s="27" t="n"/>
      <c r="E73" s="27" t="n"/>
      <c r="F73" s="28">
        <f>IFERROR((D73-E73)/E73,"")</f>
        <v/>
      </c>
      <c r="G73" s="27" t="n"/>
      <c r="H73" s="7">
        <f>IFERROR(G73*D73,"")</f>
        <v/>
      </c>
      <c r="I73" s="7">
        <f>IFERROR(IF(F73&gt;=参数配置!$C$15,-H73,C73-H73),"")</f>
        <v/>
      </c>
      <c r="J73" s="29">
        <f>IFERROR(IF(F73&gt;=参数配置!$C$15,"全仓清仓",IF(H73&gt;C73,"卖出超额","正常定投")),"")</f>
        <v/>
      </c>
      <c r="K73" s="30">
        <f>IFERROR(I73,"")</f>
        <v/>
      </c>
      <c r="L73" s="17" t="n"/>
      <c r="M73" s="27" t="n"/>
      <c r="N73" s="31">
        <f>IFERROR(G73+M73,"")</f>
        <v/>
      </c>
      <c r="O73" s="7">
        <f>IFERROR(O72+L73,"")</f>
        <v/>
      </c>
      <c r="P73" s="7">
        <f>IFERROR(-L73,"")</f>
        <v/>
      </c>
      <c r="Q73" s="32" t="n"/>
    </row>
    <row r="74">
      <c r="A74" s="33" t="n"/>
      <c r="B74" s="15" t="n"/>
      <c r="C74" s="7">
        <f>IFERROR(参数配置!$C$8*(B74-$S$3),"")</f>
        <v/>
      </c>
      <c r="D74" s="27" t="n"/>
      <c r="E74" s="27" t="n"/>
      <c r="F74" s="28">
        <f>IFERROR((D74-E74)/E74,"")</f>
        <v/>
      </c>
      <c r="G74" s="27" t="n"/>
      <c r="H74" s="7">
        <f>IFERROR(G74*D74,"")</f>
        <v/>
      </c>
      <c r="I74" s="7">
        <f>IFERROR(IF(F74&gt;=参数配置!$C$15,-H74,C74-H74),"")</f>
        <v/>
      </c>
      <c r="J74" s="29">
        <f>IFERROR(IF(F74&gt;=参数配置!$C$15,"全仓清仓",IF(H74&gt;C74,"卖出超额","正常定投")),"")</f>
        <v/>
      </c>
      <c r="K74" s="30">
        <f>IFERROR(I74,"")</f>
        <v/>
      </c>
      <c r="L74" s="17" t="n"/>
      <c r="M74" s="27" t="n"/>
      <c r="N74" s="31">
        <f>IFERROR(G74+M74,"")</f>
        <v/>
      </c>
      <c r="O74" s="7">
        <f>IFERROR(O73+L74,"")</f>
        <v/>
      </c>
      <c r="P74" s="7">
        <f>IFERROR(-L74,"")</f>
        <v/>
      </c>
      <c r="Q74" s="32" t="n"/>
    </row>
    <row r="75">
      <c r="A75" s="33" t="n"/>
      <c r="B75" s="15" t="n"/>
      <c r="C75" s="7">
        <f>IFERROR(参数配置!$C$8*(B75-$S$3),"")</f>
        <v/>
      </c>
      <c r="D75" s="27" t="n"/>
      <c r="E75" s="27" t="n"/>
      <c r="F75" s="28">
        <f>IFERROR((D75-E75)/E75,"")</f>
        <v/>
      </c>
      <c r="G75" s="27" t="n"/>
      <c r="H75" s="7">
        <f>IFERROR(G75*D75,"")</f>
        <v/>
      </c>
      <c r="I75" s="7">
        <f>IFERROR(IF(F75&gt;=参数配置!$C$15,-H75,C75-H75),"")</f>
        <v/>
      </c>
      <c r="J75" s="29">
        <f>IFERROR(IF(F75&gt;=参数配置!$C$15,"全仓清仓",IF(H75&gt;C75,"卖出超额","正常定投")),"")</f>
        <v/>
      </c>
      <c r="K75" s="30">
        <f>IFERROR(I75,"")</f>
        <v/>
      </c>
      <c r="L75" s="17" t="n"/>
      <c r="M75" s="27" t="n"/>
      <c r="N75" s="31">
        <f>IFERROR(G75+M75,"")</f>
        <v/>
      </c>
      <c r="O75" s="7">
        <f>IFERROR(O74+L75,"")</f>
        <v/>
      </c>
      <c r="P75" s="7">
        <f>IFERROR(-L75,"")</f>
        <v/>
      </c>
      <c r="Q75" s="32" t="n"/>
    </row>
    <row r="76">
      <c r="A76" s="33" t="n"/>
      <c r="B76" s="15" t="n"/>
      <c r="C76" s="7">
        <f>IFERROR(参数配置!$C$8*(B76-$S$3),"")</f>
        <v/>
      </c>
      <c r="D76" s="27" t="n"/>
      <c r="E76" s="27" t="n"/>
      <c r="F76" s="28">
        <f>IFERROR((D76-E76)/E76,"")</f>
        <v/>
      </c>
      <c r="G76" s="27" t="n"/>
      <c r="H76" s="7">
        <f>IFERROR(G76*D76,"")</f>
        <v/>
      </c>
      <c r="I76" s="7">
        <f>IFERROR(IF(F76&gt;=参数配置!$C$15,-H76,C76-H76),"")</f>
        <v/>
      </c>
      <c r="J76" s="29">
        <f>IFERROR(IF(F76&gt;=参数配置!$C$15,"全仓清仓",IF(H76&gt;C76,"卖出超额","正常定投")),"")</f>
        <v/>
      </c>
      <c r="K76" s="30">
        <f>IFERROR(I76,"")</f>
        <v/>
      </c>
      <c r="L76" s="17" t="n"/>
      <c r="M76" s="27" t="n"/>
      <c r="N76" s="31">
        <f>IFERROR(G76+M76,"")</f>
        <v/>
      </c>
      <c r="O76" s="7">
        <f>IFERROR(O75+L76,"")</f>
        <v/>
      </c>
      <c r="P76" s="7">
        <f>IFERROR(-L76,"")</f>
        <v/>
      </c>
      <c r="Q76" s="32" t="n"/>
    </row>
    <row r="77">
      <c r="A77" s="33" t="n"/>
      <c r="B77" s="15" t="n"/>
      <c r="C77" s="7">
        <f>IFERROR(参数配置!$C$8*(B77-$S$3),"")</f>
        <v/>
      </c>
      <c r="D77" s="27" t="n"/>
      <c r="E77" s="27" t="n"/>
      <c r="F77" s="28">
        <f>IFERROR((D77-E77)/E77,"")</f>
        <v/>
      </c>
      <c r="G77" s="27" t="n"/>
      <c r="H77" s="7">
        <f>IFERROR(G77*D77,"")</f>
        <v/>
      </c>
      <c r="I77" s="7">
        <f>IFERROR(IF(F77&gt;=参数配置!$C$15,-H77,C77-H77),"")</f>
        <v/>
      </c>
      <c r="J77" s="29">
        <f>IFERROR(IF(F77&gt;=参数配置!$C$15,"全仓清仓",IF(H77&gt;C77,"卖出超额","正常定投")),"")</f>
        <v/>
      </c>
      <c r="K77" s="30">
        <f>IFERROR(I77,"")</f>
        <v/>
      </c>
      <c r="L77" s="17" t="n"/>
      <c r="M77" s="27" t="n"/>
      <c r="N77" s="31">
        <f>IFERROR(G77+M77,"")</f>
        <v/>
      </c>
      <c r="O77" s="7">
        <f>IFERROR(O76+L77,"")</f>
        <v/>
      </c>
      <c r="P77" s="7">
        <f>IFERROR(-L77,"")</f>
        <v/>
      </c>
      <c r="Q77" s="32" t="n"/>
    </row>
    <row r="78">
      <c r="A78" s="33" t="n"/>
      <c r="B78" s="15" t="n"/>
      <c r="C78" s="7">
        <f>IFERROR(参数配置!$C$8*(B78-$S$3),"")</f>
        <v/>
      </c>
      <c r="D78" s="27" t="n"/>
      <c r="E78" s="27" t="n"/>
      <c r="F78" s="28">
        <f>IFERROR((D78-E78)/E78,"")</f>
        <v/>
      </c>
      <c r="G78" s="27" t="n"/>
      <c r="H78" s="7">
        <f>IFERROR(G78*D78,"")</f>
        <v/>
      </c>
      <c r="I78" s="7">
        <f>IFERROR(IF(F78&gt;=参数配置!$C$15,-H78,C78-H78),"")</f>
        <v/>
      </c>
      <c r="J78" s="29">
        <f>IFERROR(IF(F78&gt;=参数配置!$C$15,"全仓清仓",IF(H78&gt;C78,"卖出超额","正常定投")),"")</f>
        <v/>
      </c>
      <c r="K78" s="30">
        <f>IFERROR(I78,"")</f>
        <v/>
      </c>
      <c r="L78" s="17" t="n"/>
      <c r="M78" s="27" t="n"/>
      <c r="N78" s="31">
        <f>IFERROR(G78+M78,"")</f>
        <v/>
      </c>
      <c r="O78" s="7">
        <f>IFERROR(O77+L78,"")</f>
        <v/>
      </c>
      <c r="P78" s="7">
        <f>IFERROR(-L78,"")</f>
        <v/>
      </c>
      <c r="Q78" s="32" t="n"/>
    </row>
    <row r="79">
      <c r="A79" s="33" t="n"/>
      <c r="B79" s="15" t="n"/>
      <c r="C79" s="7">
        <f>IFERROR(参数配置!$C$8*(B79-$S$3),"")</f>
        <v/>
      </c>
      <c r="D79" s="27" t="n"/>
      <c r="E79" s="27" t="n"/>
      <c r="F79" s="28">
        <f>IFERROR((D79-E79)/E79,"")</f>
        <v/>
      </c>
      <c r="G79" s="27" t="n"/>
      <c r="H79" s="7">
        <f>IFERROR(G79*D79,"")</f>
        <v/>
      </c>
      <c r="I79" s="7">
        <f>IFERROR(IF(F79&gt;=参数配置!$C$15,-H79,C79-H79),"")</f>
        <v/>
      </c>
      <c r="J79" s="29">
        <f>IFERROR(IF(F79&gt;=参数配置!$C$15,"全仓清仓",IF(H79&gt;C79,"卖出超额","正常定投")),"")</f>
        <v/>
      </c>
      <c r="K79" s="30">
        <f>IFERROR(I79,"")</f>
        <v/>
      </c>
      <c r="L79" s="17" t="n"/>
      <c r="M79" s="27" t="n"/>
      <c r="N79" s="31">
        <f>IFERROR(G79+M79,"")</f>
        <v/>
      </c>
      <c r="O79" s="7">
        <f>IFERROR(O78+L79,"")</f>
        <v/>
      </c>
      <c r="P79" s="7">
        <f>IFERROR(-L79,"")</f>
        <v/>
      </c>
      <c r="Q79" s="32" t="n"/>
    </row>
    <row r="80">
      <c r="A80" s="33" t="n"/>
      <c r="B80" s="15" t="n"/>
      <c r="C80" s="7">
        <f>IFERROR(参数配置!$C$8*(B80-$S$3),"")</f>
        <v/>
      </c>
      <c r="D80" s="27" t="n"/>
      <c r="E80" s="27" t="n"/>
      <c r="F80" s="28">
        <f>IFERROR((D80-E80)/E80,"")</f>
        <v/>
      </c>
      <c r="G80" s="27" t="n"/>
      <c r="H80" s="7">
        <f>IFERROR(G80*D80,"")</f>
        <v/>
      </c>
      <c r="I80" s="7">
        <f>IFERROR(IF(F80&gt;=参数配置!$C$15,-H80,C80-H80),"")</f>
        <v/>
      </c>
      <c r="J80" s="29">
        <f>IFERROR(IF(F80&gt;=参数配置!$C$15,"全仓清仓",IF(H80&gt;C80,"卖出超额","正常定投")),"")</f>
        <v/>
      </c>
      <c r="K80" s="30">
        <f>IFERROR(I80,"")</f>
        <v/>
      </c>
      <c r="L80" s="17" t="n"/>
      <c r="M80" s="27" t="n"/>
      <c r="N80" s="31">
        <f>IFERROR(G80+M80,"")</f>
        <v/>
      </c>
      <c r="O80" s="7">
        <f>IFERROR(O79+L80,"")</f>
        <v/>
      </c>
      <c r="P80" s="7">
        <f>IFERROR(-L80,"")</f>
        <v/>
      </c>
      <c r="Q80" s="32" t="n"/>
    </row>
    <row r="81">
      <c r="A81" s="33" t="n"/>
      <c r="B81" s="15" t="n"/>
      <c r="C81" s="7">
        <f>IFERROR(参数配置!$C$8*(B81-$S$3),"")</f>
        <v/>
      </c>
      <c r="D81" s="27" t="n"/>
      <c r="E81" s="27" t="n"/>
      <c r="F81" s="28">
        <f>IFERROR((D81-E81)/E81,"")</f>
        <v/>
      </c>
      <c r="G81" s="27" t="n"/>
      <c r="H81" s="7">
        <f>IFERROR(G81*D81,"")</f>
        <v/>
      </c>
      <c r="I81" s="7">
        <f>IFERROR(IF(F81&gt;=参数配置!$C$15,-H81,C81-H81),"")</f>
        <v/>
      </c>
      <c r="J81" s="29">
        <f>IFERROR(IF(F81&gt;=参数配置!$C$15,"全仓清仓",IF(H81&gt;C81,"卖出超额","正常定投")),"")</f>
        <v/>
      </c>
      <c r="K81" s="30">
        <f>IFERROR(I81,"")</f>
        <v/>
      </c>
      <c r="L81" s="17" t="n"/>
      <c r="M81" s="27" t="n"/>
      <c r="N81" s="31">
        <f>IFERROR(G81+M81,"")</f>
        <v/>
      </c>
      <c r="O81" s="7">
        <f>IFERROR(O80+L81,"")</f>
        <v/>
      </c>
      <c r="P81" s="7">
        <f>IFERROR(-L81,"")</f>
        <v/>
      </c>
      <c r="Q81" s="32" t="n"/>
    </row>
    <row r="82">
      <c r="A82" s="33" t="n"/>
      <c r="B82" s="15" t="n"/>
      <c r="C82" s="7">
        <f>IFERROR(参数配置!$C$8*(B82-$S$3),"")</f>
        <v/>
      </c>
      <c r="D82" s="27" t="n"/>
      <c r="E82" s="27" t="n"/>
      <c r="F82" s="28">
        <f>IFERROR((D82-E82)/E82,"")</f>
        <v/>
      </c>
      <c r="G82" s="27" t="n"/>
      <c r="H82" s="7">
        <f>IFERROR(G82*D82,"")</f>
        <v/>
      </c>
      <c r="I82" s="7">
        <f>IFERROR(IF(F82&gt;=参数配置!$C$15,-H82,C82-H82),"")</f>
        <v/>
      </c>
      <c r="J82" s="29">
        <f>IFERROR(IF(F82&gt;=参数配置!$C$15,"全仓清仓",IF(H82&gt;C82,"卖出超额","正常定投")),"")</f>
        <v/>
      </c>
      <c r="K82" s="30">
        <f>IFERROR(I82,"")</f>
        <v/>
      </c>
      <c r="L82" s="17" t="n"/>
      <c r="M82" s="27" t="n"/>
      <c r="N82" s="31">
        <f>IFERROR(G82+M82,"")</f>
        <v/>
      </c>
      <c r="O82" s="7">
        <f>IFERROR(O81+L82,"")</f>
        <v/>
      </c>
      <c r="P82" s="7">
        <f>IFERROR(-L82,"")</f>
        <v/>
      </c>
      <c r="Q82" s="32" t="n"/>
    </row>
    <row r="83">
      <c r="A83" s="33" t="n"/>
      <c r="B83" s="15" t="n"/>
      <c r="C83" s="7">
        <f>IFERROR(参数配置!$C$8*(B83-$S$3),"")</f>
        <v/>
      </c>
      <c r="D83" s="27" t="n"/>
      <c r="E83" s="27" t="n"/>
      <c r="F83" s="28">
        <f>IFERROR((D83-E83)/E83,"")</f>
        <v/>
      </c>
      <c r="G83" s="27" t="n"/>
      <c r="H83" s="7">
        <f>IFERROR(G83*D83,"")</f>
        <v/>
      </c>
      <c r="I83" s="7">
        <f>IFERROR(IF(F83&gt;=参数配置!$C$15,-H83,C83-H83),"")</f>
        <v/>
      </c>
      <c r="J83" s="29">
        <f>IFERROR(IF(F83&gt;=参数配置!$C$15,"全仓清仓",IF(H83&gt;C83,"卖出超额","正常定投")),"")</f>
        <v/>
      </c>
      <c r="K83" s="30">
        <f>IFERROR(I83,"")</f>
        <v/>
      </c>
      <c r="L83" s="17" t="n"/>
      <c r="M83" s="27" t="n"/>
      <c r="N83" s="31">
        <f>IFERROR(G83+M83,"")</f>
        <v/>
      </c>
      <c r="O83" s="7">
        <f>IFERROR(O82+L83,"")</f>
        <v/>
      </c>
      <c r="P83" s="7">
        <f>IFERROR(-L83,"")</f>
        <v/>
      </c>
      <c r="Q83" s="32" t="n"/>
    </row>
    <row r="84">
      <c r="A84" s="33" t="n"/>
      <c r="B84" s="15" t="n"/>
      <c r="C84" s="7">
        <f>IFERROR(参数配置!$C$8*(B84-$S$3),"")</f>
        <v/>
      </c>
      <c r="D84" s="27" t="n"/>
      <c r="E84" s="27" t="n"/>
      <c r="F84" s="28">
        <f>IFERROR((D84-E84)/E84,"")</f>
        <v/>
      </c>
      <c r="G84" s="27" t="n"/>
      <c r="H84" s="7">
        <f>IFERROR(G84*D84,"")</f>
        <v/>
      </c>
      <c r="I84" s="7">
        <f>IFERROR(IF(F84&gt;=参数配置!$C$15,-H84,C84-H84),"")</f>
        <v/>
      </c>
      <c r="J84" s="29">
        <f>IFERROR(IF(F84&gt;=参数配置!$C$15,"全仓清仓",IF(H84&gt;C84,"卖出超额","正常定投")),"")</f>
        <v/>
      </c>
      <c r="K84" s="30">
        <f>IFERROR(I84,"")</f>
        <v/>
      </c>
      <c r="L84" s="17" t="n"/>
      <c r="M84" s="27" t="n"/>
      <c r="N84" s="31">
        <f>IFERROR(G84+M84,"")</f>
        <v/>
      </c>
      <c r="O84" s="7">
        <f>IFERROR(O83+L84,"")</f>
        <v/>
      </c>
      <c r="P84" s="7">
        <f>IFERROR(-L84,"")</f>
        <v/>
      </c>
      <c r="Q84" s="32" t="n"/>
    </row>
    <row r="85">
      <c r="A85" s="33" t="n"/>
      <c r="B85" s="15" t="n"/>
      <c r="C85" s="7">
        <f>IFERROR(参数配置!$C$8*(B85-$S$3),"")</f>
        <v/>
      </c>
      <c r="D85" s="27" t="n"/>
      <c r="E85" s="27" t="n"/>
      <c r="F85" s="28">
        <f>IFERROR((D85-E85)/E85,"")</f>
        <v/>
      </c>
      <c r="G85" s="27" t="n"/>
      <c r="H85" s="7">
        <f>IFERROR(G85*D85,"")</f>
        <v/>
      </c>
      <c r="I85" s="7">
        <f>IFERROR(IF(F85&gt;=参数配置!$C$15,-H85,C85-H85),"")</f>
        <v/>
      </c>
      <c r="J85" s="29">
        <f>IFERROR(IF(F85&gt;=参数配置!$C$15,"全仓清仓",IF(H85&gt;C85,"卖出超额","正常定投")),"")</f>
        <v/>
      </c>
      <c r="K85" s="30">
        <f>IFERROR(I85,"")</f>
        <v/>
      </c>
      <c r="L85" s="17" t="n"/>
      <c r="M85" s="27" t="n"/>
      <c r="N85" s="31">
        <f>IFERROR(G85+M85,"")</f>
        <v/>
      </c>
      <c r="O85" s="7">
        <f>IFERROR(O84+L85,"")</f>
        <v/>
      </c>
      <c r="P85" s="7">
        <f>IFERROR(-L85,"")</f>
        <v/>
      </c>
      <c r="Q85" s="32" t="n"/>
    </row>
    <row r="86">
      <c r="A86" s="33" t="n"/>
      <c r="B86" s="15" t="n"/>
      <c r="C86" s="7">
        <f>IFERROR(参数配置!$C$8*(B86-$S$3),"")</f>
        <v/>
      </c>
      <c r="D86" s="27" t="n"/>
      <c r="E86" s="27" t="n"/>
      <c r="F86" s="28">
        <f>IFERROR((D86-E86)/E86,"")</f>
        <v/>
      </c>
      <c r="G86" s="27" t="n"/>
      <c r="H86" s="7">
        <f>IFERROR(G86*D86,"")</f>
        <v/>
      </c>
      <c r="I86" s="7">
        <f>IFERROR(IF(F86&gt;=参数配置!$C$15,-H86,C86-H86),"")</f>
        <v/>
      </c>
      <c r="J86" s="29">
        <f>IFERROR(IF(F86&gt;=参数配置!$C$15,"全仓清仓",IF(H86&gt;C86,"卖出超额","正常定投")),"")</f>
        <v/>
      </c>
      <c r="K86" s="30">
        <f>IFERROR(I86,"")</f>
        <v/>
      </c>
      <c r="L86" s="17" t="n"/>
      <c r="M86" s="27" t="n"/>
      <c r="N86" s="31">
        <f>IFERROR(G86+M86,"")</f>
        <v/>
      </c>
      <c r="O86" s="7">
        <f>IFERROR(O85+L86,"")</f>
        <v/>
      </c>
      <c r="P86" s="7">
        <f>IFERROR(-L86,"")</f>
        <v/>
      </c>
      <c r="Q86" s="32" t="n"/>
    </row>
    <row r="87">
      <c r="A87" s="33" t="n"/>
      <c r="B87" s="15" t="n"/>
      <c r="C87" s="7">
        <f>IFERROR(参数配置!$C$8*(B87-$S$3),"")</f>
        <v/>
      </c>
      <c r="D87" s="27" t="n"/>
      <c r="E87" s="27" t="n"/>
      <c r="F87" s="28">
        <f>IFERROR((D87-E87)/E87,"")</f>
        <v/>
      </c>
      <c r="G87" s="27" t="n"/>
      <c r="H87" s="7">
        <f>IFERROR(G87*D87,"")</f>
        <v/>
      </c>
      <c r="I87" s="7">
        <f>IFERROR(IF(F87&gt;=参数配置!$C$15,-H87,C87-H87),"")</f>
        <v/>
      </c>
      <c r="J87" s="29">
        <f>IFERROR(IF(F87&gt;=参数配置!$C$15,"全仓清仓",IF(H87&gt;C87,"卖出超额","正常定投")),"")</f>
        <v/>
      </c>
      <c r="K87" s="30">
        <f>IFERROR(I87,"")</f>
        <v/>
      </c>
      <c r="L87" s="17" t="n"/>
      <c r="M87" s="27" t="n"/>
      <c r="N87" s="31">
        <f>IFERROR(G87+M87,"")</f>
        <v/>
      </c>
      <c r="O87" s="7">
        <f>IFERROR(O86+L87,"")</f>
        <v/>
      </c>
      <c r="P87" s="7">
        <f>IFERROR(-L87,"")</f>
        <v/>
      </c>
      <c r="Q87" s="32" t="n"/>
    </row>
    <row r="88">
      <c r="A88" s="33" t="n"/>
      <c r="B88" s="15" t="n"/>
      <c r="C88" s="7">
        <f>IFERROR(参数配置!$C$8*(B88-$S$3),"")</f>
        <v/>
      </c>
      <c r="D88" s="27" t="n"/>
      <c r="E88" s="27" t="n"/>
      <c r="F88" s="28">
        <f>IFERROR((D88-E88)/E88,"")</f>
        <v/>
      </c>
      <c r="G88" s="27" t="n"/>
      <c r="H88" s="7">
        <f>IFERROR(G88*D88,"")</f>
        <v/>
      </c>
      <c r="I88" s="7">
        <f>IFERROR(IF(F88&gt;=参数配置!$C$15,-H88,C88-H88),"")</f>
        <v/>
      </c>
      <c r="J88" s="29">
        <f>IFERROR(IF(F88&gt;=参数配置!$C$15,"全仓清仓",IF(H88&gt;C88,"卖出超额","正常定投")),"")</f>
        <v/>
      </c>
      <c r="K88" s="30">
        <f>IFERROR(I88,"")</f>
        <v/>
      </c>
      <c r="L88" s="17" t="n"/>
      <c r="M88" s="27" t="n"/>
      <c r="N88" s="31">
        <f>IFERROR(G88+M88,"")</f>
        <v/>
      </c>
      <c r="O88" s="7">
        <f>IFERROR(O87+L88,"")</f>
        <v/>
      </c>
      <c r="P88" s="7">
        <f>IFERROR(-L88,"")</f>
        <v/>
      </c>
      <c r="Q88" s="32" t="n"/>
    </row>
    <row r="89">
      <c r="A89" s="33" t="n"/>
      <c r="B89" s="15" t="n"/>
      <c r="C89" s="7">
        <f>IFERROR(参数配置!$C$8*(B89-$S$3),"")</f>
        <v/>
      </c>
      <c r="D89" s="27" t="n"/>
      <c r="E89" s="27" t="n"/>
      <c r="F89" s="28">
        <f>IFERROR((D89-E89)/E89,"")</f>
        <v/>
      </c>
      <c r="G89" s="27" t="n"/>
      <c r="H89" s="7">
        <f>IFERROR(G89*D89,"")</f>
        <v/>
      </c>
      <c r="I89" s="7">
        <f>IFERROR(IF(F89&gt;=参数配置!$C$15,-H89,C89-H89),"")</f>
        <v/>
      </c>
      <c r="J89" s="29">
        <f>IFERROR(IF(F89&gt;=参数配置!$C$15,"全仓清仓",IF(H89&gt;C89,"卖出超额","正常定投")),"")</f>
        <v/>
      </c>
      <c r="K89" s="30">
        <f>IFERROR(I89,"")</f>
        <v/>
      </c>
      <c r="L89" s="17" t="n"/>
      <c r="M89" s="27" t="n"/>
      <c r="N89" s="31">
        <f>IFERROR(G89+M89,"")</f>
        <v/>
      </c>
      <c r="O89" s="7">
        <f>IFERROR(O88+L89,"")</f>
        <v/>
      </c>
      <c r="P89" s="7">
        <f>IFERROR(-L89,"")</f>
        <v/>
      </c>
      <c r="Q89" s="32" t="n"/>
    </row>
    <row r="90">
      <c r="A90" s="33" t="n"/>
      <c r="B90" s="15" t="n"/>
      <c r="C90" s="7">
        <f>IFERROR(参数配置!$C$8*(B90-$S$3),"")</f>
        <v/>
      </c>
      <c r="D90" s="27" t="n"/>
      <c r="E90" s="27" t="n"/>
      <c r="F90" s="28">
        <f>IFERROR((D90-E90)/E90,"")</f>
        <v/>
      </c>
      <c r="G90" s="27" t="n"/>
      <c r="H90" s="7">
        <f>IFERROR(G90*D90,"")</f>
        <v/>
      </c>
      <c r="I90" s="7">
        <f>IFERROR(IF(F90&gt;=参数配置!$C$15,-H90,C90-H90),"")</f>
        <v/>
      </c>
      <c r="J90" s="29">
        <f>IFERROR(IF(F90&gt;=参数配置!$C$15,"全仓清仓",IF(H90&gt;C90,"卖出超额","正常定投")),"")</f>
        <v/>
      </c>
      <c r="K90" s="30">
        <f>IFERROR(I90,"")</f>
        <v/>
      </c>
      <c r="L90" s="17" t="n"/>
      <c r="M90" s="27" t="n"/>
      <c r="N90" s="31">
        <f>IFERROR(G90+M90,"")</f>
        <v/>
      </c>
      <c r="O90" s="7">
        <f>IFERROR(O89+L90,"")</f>
        <v/>
      </c>
      <c r="P90" s="7">
        <f>IFERROR(-L90,"")</f>
        <v/>
      </c>
      <c r="Q90" s="32" t="n"/>
    </row>
    <row r="91">
      <c r="A91" s="33" t="n"/>
      <c r="B91" s="15" t="n"/>
      <c r="C91" s="7">
        <f>IFERROR(参数配置!$C$8*(B91-$S$3),"")</f>
        <v/>
      </c>
      <c r="D91" s="27" t="n"/>
      <c r="E91" s="27" t="n"/>
      <c r="F91" s="28">
        <f>IFERROR((D91-E91)/E91,"")</f>
        <v/>
      </c>
      <c r="G91" s="27" t="n"/>
      <c r="H91" s="7">
        <f>IFERROR(G91*D91,"")</f>
        <v/>
      </c>
      <c r="I91" s="7">
        <f>IFERROR(IF(F91&gt;=参数配置!$C$15,-H91,C91-H91),"")</f>
        <v/>
      </c>
      <c r="J91" s="29">
        <f>IFERROR(IF(F91&gt;=参数配置!$C$15,"全仓清仓",IF(H91&gt;C91,"卖出超额","正常定投")),"")</f>
        <v/>
      </c>
      <c r="K91" s="30">
        <f>IFERROR(I91,"")</f>
        <v/>
      </c>
      <c r="L91" s="17" t="n"/>
      <c r="M91" s="27" t="n"/>
      <c r="N91" s="31">
        <f>IFERROR(G91+M91,"")</f>
        <v/>
      </c>
      <c r="O91" s="7">
        <f>IFERROR(O90+L91,"")</f>
        <v/>
      </c>
      <c r="P91" s="7">
        <f>IFERROR(-L91,"")</f>
        <v/>
      </c>
      <c r="Q91" s="32" t="n"/>
    </row>
    <row r="92">
      <c r="A92" s="33" t="n"/>
      <c r="B92" s="15" t="n"/>
      <c r="C92" s="7">
        <f>IFERROR(参数配置!$C$8*(B92-$S$3),"")</f>
        <v/>
      </c>
      <c r="D92" s="27" t="n"/>
      <c r="E92" s="27" t="n"/>
      <c r="F92" s="28">
        <f>IFERROR((D92-E92)/E92,"")</f>
        <v/>
      </c>
      <c r="G92" s="27" t="n"/>
      <c r="H92" s="7">
        <f>IFERROR(G92*D92,"")</f>
        <v/>
      </c>
      <c r="I92" s="7">
        <f>IFERROR(IF(F92&gt;=参数配置!$C$15,-H92,C92-H92),"")</f>
        <v/>
      </c>
      <c r="J92" s="29">
        <f>IFERROR(IF(F92&gt;=参数配置!$C$15,"全仓清仓",IF(H92&gt;C92,"卖出超额","正常定投")),"")</f>
        <v/>
      </c>
      <c r="K92" s="30">
        <f>IFERROR(I92,"")</f>
        <v/>
      </c>
      <c r="L92" s="17" t="n"/>
      <c r="M92" s="27" t="n"/>
      <c r="N92" s="31">
        <f>IFERROR(G92+M92,"")</f>
        <v/>
      </c>
      <c r="O92" s="7">
        <f>IFERROR(O91+L92,"")</f>
        <v/>
      </c>
      <c r="P92" s="7">
        <f>IFERROR(-L92,"")</f>
        <v/>
      </c>
      <c r="Q92" s="32" t="n"/>
    </row>
    <row r="93">
      <c r="A93" s="33" t="n"/>
      <c r="B93" s="15" t="n"/>
      <c r="C93" s="7">
        <f>IFERROR(参数配置!$C$8*(B93-$S$3),"")</f>
        <v/>
      </c>
      <c r="D93" s="27" t="n"/>
      <c r="E93" s="27" t="n"/>
      <c r="F93" s="28">
        <f>IFERROR((D93-E93)/E93,"")</f>
        <v/>
      </c>
      <c r="G93" s="27" t="n"/>
      <c r="H93" s="7">
        <f>IFERROR(G93*D93,"")</f>
        <v/>
      </c>
      <c r="I93" s="7">
        <f>IFERROR(IF(F93&gt;=参数配置!$C$15,-H93,C93-H93),"")</f>
        <v/>
      </c>
      <c r="J93" s="29">
        <f>IFERROR(IF(F93&gt;=参数配置!$C$15,"全仓清仓",IF(H93&gt;C93,"卖出超额","正常定投")),"")</f>
        <v/>
      </c>
      <c r="K93" s="30">
        <f>IFERROR(I93,"")</f>
        <v/>
      </c>
      <c r="L93" s="17" t="n"/>
      <c r="M93" s="27" t="n"/>
      <c r="N93" s="31">
        <f>IFERROR(G93+M93,"")</f>
        <v/>
      </c>
      <c r="O93" s="7">
        <f>IFERROR(O92+L93,"")</f>
        <v/>
      </c>
      <c r="P93" s="7">
        <f>IFERROR(-L93,"")</f>
        <v/>
      </c>
      <c r="Q93" s="32" t="n"/>
    </row>
    <row r="94">
      <c r="A94" s="33" t="n"/>
      <c r="B94" s="15" t="n"/>
      <c r="C94" s="7">
        <f>IFERROR(参数配置!$C$8*(B94-$S$3),"")</f>
        <v/>
      </c>
      <c r="D94" s="27" t="n"/>
      <c r="E94" s="27" t="n"/>
      <c r="F94" s="28">
        <f>IFERROR((D94-E94)/E94,"")</f>
        <v/>
      </c>
      <c r="G94" s="27" t="n"/>
      <c r="H94" s="7">
        <f>IFERROR(G94*D94,"")</f>
        <v/>
      </c>
      <c r="I94" s="7">
        <f>IFERROR(IF(F94&gt;=参数配置!$C$15,-H94,C94-H94),"")</f>
        <v/>
      </c>
      <c r="J94" s="29">
        <f>IFERROR(IF(F94&gt;=参数配置!$C$15,"全仓清仓",IF(H94&gt;C94,"卖出超额","正常定投")),"")</f>
        <v/>
      </c>
      <c r="K94" s="30">
        <f>IFERROR(I94,"")</f>
        <v/>
      </c>
      <c r="L94" s="17" t="n"/>
      <c r="M94" s="27" t="n"/>
      <c r="N94" s="31">
        <f>IFERROR(G94+M94,"")</f>
        <v/>
      </c>
      <c r="O94" s="7">
        <f>IFERROR(O93+L94,"")</f>
        <v/>
      </c>
      <c r="P94" s="7">
        <f>IFERROR(-L94,"")</f>
        <v/>
      </c>
      <c r="Q94" s="32" t="n"/>
    </row>
    <row r="95">
      <c r="A95" s="33" t="n"/>
      <c r="B95" s="15" t="n"/>
      <c r="C95" s="7">
        <f>IFERROR(参数配置!$C$8*(B95-$S$3),"")</f>
        <v/>
      </c>
      <c r="D95" s="27" t="n"/>
      <c r="E95" s="27" t="n"/>
      <c r="F95" s="28">
        <f>IFERROR((D95-E95)/E95,"")</f>
        <v/>
      </c>
      <c r="G95" s="27" t="n"/>
      <c r="H95" s="7">
        <f>IFERROR(G95*D95,"")</f>
        <v/>
      </c>
      <c r="I95" s="7">
        <f>IFERROR(IF(F95&gt;=参数配置!$C$15,-H95,C95-H95),"")</f>
        <v/>
      </c>
      <c r="J95" s="29">
        <f>IFERROR(IF(F95&gt;=参数配置!$C$15,"全仓清仓",IF(H95&gt;C95,"卖出超额","正常定投")),"")</f>
        <v/>
      </c>
      <c r="K95" s="30">
        <f>IFERROR(I95,"")</f>
        <v/>
      </c>
      <c r="L95" s="17" t="n"/>
      <c r="M95" s="27" t="n"/>
      <c r="N95" s="31">
        <f>IFERROR(G95+M95,"")</f>
        <v/>
      </c>
      <c r="O95" s="7">
        <f>IFERROR(O94+L95,"")</f>
        <v/>
      </c>
      <c r="P95" s="7">
        <f>IFERROR(-L95,"")</f>
        <v/>
      </c>
      <c r="Q95" s="32" t="n"/>
    </row>
    <row r="96">
      <c r="A96" s="33" t="n"/>
      <c r="B96" s="15" t="n"/>
      <c r="C96" s="7">
        <f>IFERROR(参数配置!$C$8*(B96-$S$3),"")</f>
        <v/>
      </c>
      <c r="D96" s="27" t="n"/>
      <c r="E96" s="27" t="n"/>
      <c r="F96" s="28">
        <f>IFERROR((D96-E96)/E96,"")</f>
        <v/>
      </c>
      <c r="G96" s="27" t="n"/>
      <c r="H96" s="7">
        <f>IFERROR(G96*D96,"")</f>
        <v/>
      </c>
      <c r="I96" s="7">
        <f>IFERROR(IF(F96&gt;=参数配置!$C$15,-H96,C96-H96),"")</f>
        <v/>
      </c>
      <c r="J96" s="29">
        <f>IFERROR(IF(F96&gt;=参数配置!$C$15,"全仓清仓",IF(H96&gt;C96,"卖出超额","正常定投")),"")</f>
        <v/>
      </c>
      <c r="K96" s="30">
        <f>IFERROR(I96,"")</f>
        <v/>
      </c>
      <c r="L96" s="17" t="n"/>
      <c r="M96" s="27" t="n"/>
      <c r="N96" s="31">
        <f>IFERROR(G96+M96,"")</f>
        <v/>
      </c>
      <c r="O96" s="7">
        <f>IFERROR(O95+L96,"")</f>
        <v/>
      </c>
      <c r="P96" s="7">
        <f>IFERROR(-L96,"")</f>
        <v/>
      </c>
      <c r="Q96" s="32" t="n"/>
    </row>
    <row r="97">
      <c r="A97" s="33" t="n"/>
      <c r="B97" s="15" t="n"/>
      <c r="C97" s="7">
        <f>IFERROR(参数配置!$C$8*(B97-$S$3),"")</f>
        <v/>
      </c>
      <c r="D97" s="27" t="n"/>
      <c r="E97" s="27" t="n"/>
      <c r="F97" s="28">
        <f>IFERROR((D97-E97)/E97,"")</f>
        <v/>
      </c>
      <c r="G97" s="27" t="n"/>
      <c r="H97" s="7">
        <f>IFERROR(G97*D97,"")</f>
        <v/>
      </c>
      <c r="I97" s="7">
        <f>IFERROR(IF(F97&gt;=参数配置!$C$15,-H97,C97-H97),"")</f>
        <v/>
      </c>
      <c r="J97" s="29">
        <f>IFERROR(IF(F97&gt;=参数配置!$C$15,"全仓清仓",IF(H97&gt;C97,"卖出超额","正常定投")),"")</f>
        <v/>
      </c>
      <c r="K97" s="30">
        <f>IFERROR(I97,"")</f>
        <v/>
      </c>
      <c r="L97" s="17" t="n"/>
      <c r="M97" s="27" t="n"/>
      <c r="N97" s="31">
        <f>IFERROR(G97+M97,"")</f>
        <v/>
      </c>
      <c r="O97" s="7">
        <f>IFERROR(O96+L97,"")</f>
        <v/>
      </c>
      <c r="P97" s="7">
        <f>IFERROR(-L97,"")</f>
        <v/>
      </c>
      <c r="Q97" s="32" t="n"/>
    </row>
    <row r="98">
      <c r="A98" s="33" t="n"/>
      <c r="B98" s="15" t="n"/>
      <c r="C98" s="7">
        <f>IFERROR(参数配置!$C$8*(B98-$S$3),"")</f>
        <v/>
      </c>
      <c r="D98" s="27" t="n"/>
      <c r="E98" s="27" t="n"/>
      <c r="F98" s="28">
        <f>IFERROR((D98-E98)/E98,"")</f>
        <v/>
      </c>
      <c r="G98" s="27" t="n"/>
      <c r="H98" s="7">
        <f>IFERROR(G98*D98,"")</f>
        <v/>
      </c>
      <c r="I98" s="7">
        <f>IFERROR(IF(F98&gt;=参数配置!$C$15,-H98,C98-H98),"")</f>
        <v/>
      </c>
      <c r="J98" s="29">
        <f>IFERROR(IF(F98&gt;=参数配置!$C$15,"全仓清仓",IF(H98&gt;C98,"卖出超额","正常定投")),"")</f>
        <v/>
      </c>
      <c r="K98" s="30">
        <f>IFERROR(I98,"")</f>
        <v/>
      </c>
      <c r="L98" s="17" t="n"/>
      <c r="M98" s="27" t="n"/>
      <c r="N98" s="31">
        <f>IFERROR(G98+M98,"")</f>
        <v/>
      </c>
      <c r="O98" s="7">
        <f>IFERROR(O97+L98,"")</f>
        <v/>
      </c>
      <c r="P98" s="7">
        <f>IFERROR(-L98,"")</f>
        <v/>
      </c>
      <c r="Q98" s="32" t="n"/>
    </row>
    <row r="99">
      <c r="A99" s="33" t="n"/>
      <c r="B99" s="15" t="n"/>
      <c r="C99" s="7">
        <f>IFERROR(参数配置!$C$8*(B99-$S$3),"")</f>
        <v/>
      </c>
      <c r="D99" s="27" t="n"/>
      <c r="E99" s="27" t="n"/>
      <c r="F99" s="28">
        <f>IFERROR((D99-E99)/E99,"")</f>
        <v/>
      </c>
      <c r="G99" s="27" t="n"/>
      <c r="H99" s="7">
        <f>IFERROR(G99*D99,"")</f>
        <v/>
      </c>
      <c r="I99" s="7">
        <f>IFERROR(IF(F99&gt;=参数配置!$C$15,-H99,C99-H99),"")</f>
        <v/>
      </c>
      <c r="J99" s="29">
        <f>IFERROR(IF(F99&gt;=参数配置!$C$15,"全仓清仓",IF(H99&gt;C99,"卖出超额","正常定投")),"")</f>
        <v/>
      </c>
      <c r="K99" s="30">
        <f>IFERROR(I99,"")</f>
        <v/>
      </c>
      <c r="L99" s="17" t="n"/>
      <c r="M99" s="27" t="n"/>
      <c r="N99" s="31">
        <f>IFERROR(G99+M99,"")</f>
        <v/>
      </c>
      <c r="O99" s="7">
        <f>IFERROR(O98+L99,"")</f>
        <v/>
      </c>
      <c r="P99" s="7">
        <f>IFERROR(-L99,"")</f>
        <v/>
      </c>
      <c r="Q99" s="32" t="n"/>
    </row>
    <row r="100">
      <c r="A100" s="33" t="n"/>
      <c r="B100" s="15" t="n"/>
      <c r="C100" s="7">
        <f>IFERROR(参数配置!$C$8*(B100-$S$3),"")</f>
        <v/>
      </c>
      <c r="D100" s="27" t="n"/>
      <c r="E100" s="27" t="n"/>
      <c r="F100" s="28">
        <f>IFERROR((D100-E100)/E100,"")</f>
        <v/>
      </c>
      <c r="G100" s="27" t="n"/>
      <c r="H100" s="7">
        <f>IFERROR(G100*D100,"")</f>
        <v/>
      </c>
      <c r="I100" s="7">
        <f>IFERROR(IF(F100&gt;=参数配置!$C$15,-H100,C100-H100),"")</f>
        <v/>
      </c>
      <c r="J100" s="29">
        <f>IFERROR(IF(F100&gt;=参数配置!$C$15,"全仓清仓",IF(H100&gt;C100,"卖出超额","正常定投")),"")</f>
        <v/>
      </c>
      <c r="K100" s="30">
        <f>IFERROR(I100,"")</f>
        <v/>
      </c>
      <c r="L100" s="17" t="n"/>
      <c r="M100" s="27" t="n"/>
      <c r="N100" s="31">
        <f>IFERROR(G100+M100,"")</f>
        <v/>
      </c>
      <c r="O100" s="7">
        <f>IFERROR(O99+L100,"")</f>
        <v/>
      </c>
      <c r="P100" s="7">
        <f>IFERROR(-L100,"")</f>
        <v/>
      </c>
      <c r="Q100" s="32" t="n"/>
    </row>
    <row r="101">
      <c r="A101" s="33" t="n"/>
      <c r="B101" s="15" t="n"/>
      <c r="C101" s="7">
        <f>IFERROR(参数配置!$C$8*(B101-$S$3),"")</f>
        <v/>
      </c>
      <c r="D101" s="27" t="n"/>
      <c r="E101" s="27" t="n"/>
      <c r="F101" s="28">
        <f>IFERROR((D101-E101)/E101,"")</f>
        <v/>
      </c>
      <c r="G101" s="27" t="n"/>
      <c r="H101" s="7">
        <f>IFERROR(G101*D101,"")</f>
        <v/>
      </c>
      <c r="I101" s="7">
        <f>IFERROR(IF(F101&gt;=参数配置!$C$15,-H101,C101-H101),"")</f>
        <v/>
      </c>
      <c r="J101" s="29">
        <f>IFERROR(IF(F101&gt;=参数配置!$C$15,"全仓清仓",IF(H101&gt;C101,"卖出超额","正常定投")),"")</f>
        <v/>
      </c>
      <c r="K101" s="30">
        <f>IFERROR(I101,"")</f>
        <v/>
      </c>
      <c r="L101" s="17" t="n"/>
      <c r="M101" s="27" t="n"/>
      <c r="N101" s="31">
        <f>IFERROR(G101+M101,"")</f>
        <v/>
      </c>
      <c r="O101" s="7">
        <f>IFERROR(O100+L101,"")</f>
        <v/>
      </c>
      <c r="P101" s="7">
        <f>IFERROR(-L101,"")</f>
        <v/>
      </c>
      <c r="Q101" s="32" t="n"/>
    </row>
    <row r="102">
      <c r="A102" s="33" t="n"/>
      <c r="B102" s="15" t="n"/>
      <c r="C102" s="7">
        <f>IFERROR(参数配置!$C$8*(B102-$S$3),"")</f>
        <v/>
      </c>
      <c r="D102" s="27" t="n"/>
      <c r="E102" s="27" t="n"/>
      <c r="F102" s="28">
        <f>IFERROR((D102-E102)/E102,"")</f>
        <v/>
      </c>
      <c r="G102" s="27" t="n"/>
      <c r="H102" s="7">
        <f>IFERROR(G102*D102,"")</f>
        <v/>
      </c>
      <c r="I102" s="7">
        <f>IFERROR(IF(F102&gt;=参数配置!$C$15,-H102,C102-H102),"")</f>
        <v/>
      </c>
      <c r="J102" s="29">
        <f>IFERROR(IF(F102&gt;=参数配置!$C$15,"全仓清仓",IF(H102&gt;C102,"卖出超额","正常定投")),"")</f>
        <v/>
      </c>
      <c r="K102" s="30">
        <f>IFERROR(I102,"")</f>
        <v/>
      </c>
      <c r="L102" s="17" t="n"/>
      <c r="M102" s="27" t="n"/>
      <c r="N102" s="31">
        <f>IFERROR(G102+M102,"")</f>
        <v/>
      </c>
      <c r="O102" s="7">
        <f>IFERROR(O101+L102,"")</f>
        <v/>
      </c>
      <c r="P102" s="7">
        <f>IFERROR(-L102,"")</f>
        <v/>
      </c>
      <c r="Q102" s="32" t="n"/>
    </row>
    <row r="103">
      <c r="A103" s="33" t="n"/>
      <c r="B103" s="15" t="n"/>
      <c r="C103" s="7">
        <f>IFERROR(参数配置!$C$8*(B103-$S$3),"")</f>
        <v/>
      </c>
      <c r="D103" s="27" t="n"/>
      <c r="E103" s="27" t="n"/>
      <c r="F103" s="28">
        <f>IFERROR((D103-E103)/E103,"")</f>
        <v/>
      </c>
      <c r="G103" s="27" t="n"/>
      <c r="H103" s="7">
        <f>IFERROR(G103*D103,"")</f>
        <v/>
      </c>
      <c r="I103" s="7">
        <f>IFERROR(IF(F103&gt;=参数配置!$C$15,-H103,C103-H103),"")</f>
        <v/>
      </c>
      <c r="J103" s="29">
        <f>IFERROR(IF(F103&gt;=参数配置!$C$15,"全仓清仓",IF(H103&gt;C103,"卖出超额","正常定投")),"")</f>
        <v/>
      </c>
      <c r="K103" s="30">
        <f>IFERROR(I103,"")</f>
        <v/>
      </c>
      <c r="L103" s="17" t="n"/>
      <c r="M103" s="27" t="n"/>
      <c r="N103" s="31">
        <f>IFERROR(G103+M103,"")</f>
        <v/>
      </c>
      <c r="O103" s="7">
        <f>IFERROR(O102+L103,"")</f>
        <v/>
      </c>
      <c r="P103" s="7">
        <f>IFERROR(-L103,"")</f>
        <v/>
      </c>
      <c r="Q103" s="32" t="n"/>
    </row>
    <row r="104">
      <c r="A104" s="33" t="n"/>
      <c r="B104" s="15" t="n"/>
      <c r="C104" s="7">
        <f>IFERROR(参数配置!$C$8*(B104-$S$3),"")</f>
        <v/>
      </c>
      <c r="D104" s="27" t="n"/>
      <c r="E104" s="27" t="n"/>
      <c r="F104" s="28">
        <f>IFERROR((D104-E104)/E104,"")</f>
        <v/>
      </c>
      <c r="G104" s="27" t="n"/>
      <c r="H104" s="7">
        <f>IFERROR(G104*D104,"")</f>
        <v/>
      </c>
      <c r="I104" s="7">
        <f>IFERROR(IF(F104&gt;=参数配置!$C$15,-H104,C104-H104),"")</f>
        <v/>
      </c>
      <c r="J104" s="29">
        <f>IFERROR(IF(F104&gt;=参数配置!$C$15,"全仓清仓",IF(H104&gt;C104,"卖出超额","正常定投")),"")</f>
        <v/>
      </c>
      <c r="K104" s="30">
        <f>IFERROR(I104,"")</f>
        <v/>
      </c>
      <c r="L104" s="17" t="n"/>
      <c r="M104" s="27" t="n"/>
      <c r="N104" s="31">
        <f>IFERROR(G104+M104,"")</f>
        <v/>
      </c>
      <c r="O104" s="7">
        <f>IFERROR(O103+L104,"")</f>
        <v/>
      </c>
      <c r="P104" s="7">
        <f>IFERROR(-L104,"")</f>
        <v/>
      </c>
      <c r="Q104" s="32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2026-05-06T03:54:07Z</dcterms:created>
  <dcterms:modified xmlns:dcterms="http://purl.org/dc/terms/" xmlns:xsi="http://www.w3.org/2001/XMLSchema-instance" xsi:type="dcterms:W3CDTF">2026-05-22T01:41:18Z</dcterms:modified>
</cp:coreProperties>
</file>