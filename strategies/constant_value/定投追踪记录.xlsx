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+0%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6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MAX(0,参数配置!$C$26-IFERROR(LOOKUP(2,1/(每期汇总!L5:L1000&lt;&gt;""),每期汇总!L5:L1000),0))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>
        <v>1</v>
      </c>
      <c r="B5" s="32" t="inlineStr">
        <is>
          <t>2026-04-24</t>
        </is>
      </c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>
        <v>0</v>
      </c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IFERROR(IF(L5&gt;=参数配置!$C$26,"增量阶段","存量阶段"),"")</f>
        <v/>
      </c>
    </row>
    <row r="6">
      <c r="A6" s="15" t="n"/>
      <c r="B6" s="32" t="n"/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/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IFERROR(IF(L6&gt;=参数配置!$C$26,"增量阶段","存量阶段"),"")</f>
        <v/>
      </c>
    </row>
    <row r="7">
      <c r="A7" s="15" t="n"/>
      <c r="B7" s="32" t="n"/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/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IFERROR(IF(L7&gt;=参数配置!$C$26,"增量阶段","存量阶段"),"")</f>
        <v/>
      </c>
    </row>
    <row r="8">
      <c r="A8" s="15" t="n"/>
      <c r="B8" s="32" t="n"/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/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IFERROR(IF(L8&gt;=参数配置!$C$26,"增量阶段","存量阶段"),"")</f>
        <v/>
      </c>
    </row>
    <row r="9">
      <c r="A9" s="15" t="n"/>
      <c r="B9" s="32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IFERROR(IF(L9&gt;=参数配置!$C$26,"增量阶段","存量阶段"),"")</f>
        <v/>
      </c>
    </row>
    <row r="10">
      <c r="A10" s="15" t="n"/>
      <c r="B10" s="32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IFERROR(IF(L10&gt;=参数配置!$C$26,"增量阶段","存量阶段"),"")</f>
        <v/>
      </c>
    </row>
    <row r="11">
      <c r="A11" s="15" t="n"/>
      <c r="B11" s="32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IFERROR(IF(L11&gt;=参数配置!$C$26,"增量阶段","存量阶段"),"")</f>
        <v/>
      </c>
    </row>
    <row r="12">
      <c r="A12" s="15" t="n"/>
      <c r="B12" s="32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IFERROR(IF(L12&gt;=参数配置!$C$26,"增量阶段","存量阶段"),"")</f>
        <v/>
      </c>
    </row>
    <row r="13">
      <c r="A13" s="15" t="n"/>
      <c r="B13" s="32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IFERROR(IF(L13&gt;=参数配置!$C$26,"增量阶段","存量阶段"),"")</f>
        <v/>
      </c>
    </row>
    <row r="14">
      <c r="A14" s="15" t="n"/>
      <c r="B14" s="32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IFERROR(IF(L14&gt;=参数配置!$C$26,"增量阶段","存量阶段"),"")</f>
        <v/>
      </c>
    </row>
    <row r="15">
      <c r="A15" s="15" t="n"/>
      <c r="B15" s="32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IFERROR(IF(L15&gt;=参数配置!$C$26,"增量阶段","存量阶段"),"")</f>
        <v/>
      </c>
    </row>
    <row r="16">
      <c r="A16" s="15" t="n"/>
      <c r="B16" s="32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IFERROR(IF(L16&gt;=参数配置!$C$26,"增量阶段","存量阶段"),"")</f>
        <v/>
      </c>
    </row>
    <row r="17">
      <c r="A17" s="15" t="n"/>
      <c r="B17" s="32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IFERROR(IF(L17&gt;=参数配置!$C$26,"增量阶段","存量阶段"),"")</f>
        <v/>
      </c>
    </row>
    <row r="18">
      <c r="A18" s="15" t="n"/>
      <c r="B18" s="32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IFERROR(IF(L18&gt;=参数配置!$C$26,"增量阶段","存量阶段"),"")</f>
        <v/>
      </c>
    </row>
    <row r="19">
      <c r="A19" s="15" t="n"/>
      <c r="B19" s="32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IFERROR(IF(L19&gt;=参数配置!$C$26,"增量阶段","存量阶段"),"")</f>
        <v/>
      </c>
    </row>
    <row r="20">
      <c r="A20" s="15" t="n"/>
      <c r="B20" s="32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IFERROR(IF(L20&gt;=参数配置!$C$26,"增量阶段","存量阶段"),"")</f>
        <v/>
      </c>
    </row>
    <row r="21">
      <c r="A21" s="15" t="n"/>
      <c r="B21" s="32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IFERROR(IF(L21&gt;=参数配置!$C$26,"增量阶段","存量阶段"),"")</f>
        <v/>
      </c>
    </row>
    <row r="22">
      <c r="A22" s="15" t="n"/>
      <c r="B22" s="32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IFERROR(IF(L22&gt;=参数配置!$C$26,"增量阶段","存量阶段"),"")</f>
        <v/>
      </c>
    </row>
    <row r="23">
      <c r="A23" s="15" t="n"/>
      <c r="B23" s="32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IFERROR(IF(L23&gt;=参数配置!$C$26,"增量阶段","存量阶段"),"")</f>
        <v/>
      </c>
    </row>
    <row r="24">
      <c r="A24" s="15" t="n"/>
      <c r="B24" s="32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IFERROR(IF(L24&gt;=参数配置!$C$26,"增量阶段","存量阶段"),"")</f>
        <v/>
      </c>
    </row>
    <row r="25">
      <c r="A25" s="15" t="n"/>
      <c r="B25" s="32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IFERROR(IF(L25&gt;=参数配置!$C$26,"增量阶段","存量阶段"),"")</f>
        <v/>
      </c>
    </row>
    <row r="26">
      <c r="A26" s="15" t="n"/>
      <c r="B26" s="32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IFERROR(IF(L26&gt;=参数配置!$C$26,"增量阶段","存量阶段"),"")</f>
        <v/>
      </c>
    </row>
    <row r="27">
      <c r="A27" s="15" t="n"/>
      <c r="B27" s="32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IFERROR(IF(L27&gt;=参数配置!$C$26,"增量阶段","存量阶段"),"")</f>
        <v/>
      </c>
    </row>
    <row r="28">
      <c r="A28" s="15" t="n"/>
      <c r="B28" s="32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IFERROR(IF(L28&gt;=参数配置!$C$26,"增量阶段","存量阶段"),"")</f>
        <v/>
      </c>
    </row>
    <row r="29">
      <c r="A29" s="15" t="n"/>
      <c r="B29" s="32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IFERROR(IF(L29&gt;=参数配置!$C$26,"增量阶段","存量阶段"),"")</f>
        <v/>
      </c>
    </row>
    <row r="30">
      <c r="A30" s="15" t="n"/>
      <c r="B30" s="32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IFERROR(IF(L30&gt;=参数配置!$C$26,"增量阶段","存量阶段"),"")</f>
        <v/>
      </c>
    </row>
    <row r="31">
      <c r="A31" s="15" t="n"/>
      <c r="B31" s="32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IFERROR(IF(L31&gt;=参数配置!$C$26,"增量阶段","存量阶段"),"")</f>
        <v/>
      </c>
    </row>
    <row r="32">
      <c r="A32" s="15" t="n"/>
      <c r="B32" s="32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IFERROR(IF(L32&gt;=参数配置!$C$26,"增量阶段","存量阶段"),"")</f>
        <v/>
      </c>
    </row>
    <row r="33">
      <c r="A33" s="15" t="n"/>
      <c r="B33" s="32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IFERROR(IF(L33&gt;=参数配置!$C$26,"增量阶段","存量阶段"),"")</f>
        <v/>
      </c>
    </row>
    <row r="34">
      <c r="A34" s="15" t="n"/>
      <c r="B34" s="32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IFERROR(IF(L34&gt;=参数配置!$C$26,"增量阶段","存量阶段"),"")</f>
        <v/>
      </c>
    </row>
    <row r="35">
      <c r="A35" s="15" t="n"/>
      <c r="B35" s="32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IFERROR(IF(L35&gt;=参数配置!$C$26,"增量阶段","存量阶段"),"")</f>
        <v/>
      </c>
    </row>
    <row r="36">
      <c r="A36" s="15" t="n"/>
      <c r="B36" s="32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IFERROR(IF(L36&gt;=参数配置!$C$26,"增量阶段","存量阶段"),"")</f>
        <v/>
      </c>
    </row>
    <row r="37">
      <c r="A37" s="15" t="n"/>
      <c r="B37" s="32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IFERROR(IF(L37&gt;=参数配置!$C$26,"增量阶段","存量阶段"),"")</f>
        <v/>
      </c>
    </row>
    <row r="38">
      <c r="A38" s="15" t="n"/>
      <c r="B38" s="32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IFERROR(IF(L38&gt;=参数配置!$C$26,"增量阶段","存量阶段"),"")</f>
        <v/>
      </c>
    </row>
    <row r="39">
      <c r="A39" s="15" t="n"/>
      <c r="B39" s="32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IFERROR(IF(L39&gt;=参数配置!$C$26,"增量阶段","存量阶段"),"")</f>
        <v/>
      </c>
    </row>
    <row r="40">
      <c r="A40" s="15" t="n"/>
      <c r="B40" s="32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IFERROR(IF(L40&gt;=参数配置!$C$26,"增量阶段","存量阶段"),"")</f>
        <v/>
      </c>
    </row>
    <row r="41">
      <c r="A41" s="15" t="n"/>
      <c r="B41" s="32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IFERROR(IF(L41&gt;=参数配置!$C$26,"增量阶段","存量阶段"),"")</f>
        <v/>
      </c>
    </row>
    <row r="42">
      <c r="A42" s="15" t="n"/>
      <c r="B42" s="32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IFERROR(IF(L42&gt;=参数配置!$C$26,"增量阶段","存量阶段"),"")</f>
        <v/>
      </c>
    </row>
    <row r="43">
      <c r="A43" s="15" t="n"/>
      <c r="B43" s="32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IFERROR(IF(L43&gt;=参数配置!$C$26,"增量阶段","存量阶段"),"")</f>
        <v/>
      </c>
    </row>
    <row r="44">
      <c r="A44" s="15" t="n"/>
      <c r="B44" s="32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IFERROR(IF(L44&gt;=参数配置!$C$26,"增量阶段","存量阶段"),"")</f>
        <v/>
      </c>
    </row>
    <row r="45">
      <c r="A45" s="15" t="n"/>
      <c r="B45" s="32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IFERROR(IF(L45&gt;=参数配置!$C$26,"增量阶段","存量阶段"),"")</f>
        <v/>
      </c>
    </row>
    <row r="46">
      <c r="A46" s="15" t="n"/>
      <c r="B46" s="32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IFERROR(IF(L46&gt;=参数配置!$C$26,"增量阶段","存量阶段"),"")</f>
        <v/>
      </c>
    </row>
    <row r="47">
      <c r="A47" s="15" t="n"/>
      <c r="B47" s="32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IFERROR(IF(L47&gt;=参数配置!$C$26,"增量阶段","存量阶段"),"")</f>
        <v/>
      </c>
    </row>
    <row r="48">
      <c r="A48" s="15" t="n"/>
      <c r="B48" s="32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IFERROR(IF(L48&gt;=参数配置!$C$26,"增量阶段","存量阶段"),"")</f>
        <v/>
      </c>
    </row>
    <row r="49">
      <c r="A49" s="15" t="n"/>
      <c r="B49" s="32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IFERROR(IF(L49&gt;=参数配置!$C$26,"增量阶段","存量阶段"),"")</f>
        <v/>
      </c>
    </row>
    <row r="50">
      <c r="A50" s="15" t="n"/>
      <c r="B50" s="32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IFERROR(IF(L50&gt;=参数配置!$C$26,"增量阶段","存量阶段"),"")</f>
        <v/>
      </c>
    </row>
    <row r="51">
      <c r="A51" s="15" t="n"/>
      <c r="B51" s="32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IFERROR(IF(L51&gt;=参数配置!$C$26,"增量阶段","存量阶段"),"")</f>
        <v/>
      </c>
    </row>
    <row r="52">
      <c r="A52" s="15" t="n"/>
      <c r="B52" s="32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IFERROR(IF(L52&gt;=参数配置!$C$26,"增量阶段","存量阶段"),"")</f>
        <v/>
      </c>
    </row>
    <row r="53">
      <c r="A53" s="15" t="n"/>
      <c r="B53" s="32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IFERROR(IF(L53&gt;=参数配置!$C$26,"增量阶段","存量阶段"),"")</f>
        <v/>
      </c>
    </row>
    <row r="54">
      <c r="A54" s="15" t="n"/>
      <c r="B54" s="32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IFERROR(IF(L54&gt;=参数配置!$C$26,"增量阶段","存量阶段"),"")</f>
        <v/>
      </c>
    </row>
    <row r="55">
      <c r="A55" s="15" t="n"/>
      <c r="B55" s="32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IFERROR(IF(L55&gt;=参数配置!$C$26,"增量阶段","存量阶段"),"")</f>
        <v/>
      </c>
    </row>
    <row r="56">
      <c r="A56" s="15" t="n"/>
      <c r="B56" s="32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IFERROR(IF(L56&gt;=参数配置!$C$26,"增量阶段","存量阶段"),"")</f>
        <v/>
      </c>
    </row>
    <row r="57">
      <c r="A57" s="15" t="n"/>
      <c r="B57" s="32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IFERROR(IF(L57&gt;=参数配置!$C$26,"增量阶段","存量阶段"),"")</f>
        <v/>
      </c>
    </row>
    <row r="58">
      <c r="A58" s="15" t="n"/>
      <c r="B58" s="32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IFERROR(IF(L58&gt;=参数配置!$C$26,"增量阶段","存量阶段"),"")</f>
        <v/>
      </c>
    </row>
    <row r="59">
      <c r="A59" s="15" t="n"/>
      <c r="B59" s="32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IFERROR(IF(L59&gt;=参数配置!$C$26,"增量阶段","存量阶段"),"")</f>
        <v/>
      </c>
    </row>
    <row r="60">
      <c r="A60" s="15" t="n"/>
      <c r="B60" s="32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IFERROR(IF(L60&gt;=参数配置!$C$26,"增量阶段","存量阶段"),"")</f>
        <v/>
      </c>
    </row>
    <row r="61">
      <c r="A61" s="15" t="n"/>
      <c r="B61" s="32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IFERROR(IF(L61&gt;=参数配置!$C$26,"增量阶段","存量阶段"),"")</f>
        <v/>
      </c>
    </row>
    <row r="62">
      <c r="A62" s="15" t="n"/>
      <c r="B62" s="32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IFERROR(IF(L62&gt;=参数配置!$C$26,"增量阶段","存量阶段"),"")</f>
        <v/>
      </c>
    </row>
    <row r="63">
      <c r="A63" s="15" t="n"/>
      <c r="B63" s="32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IFERROR(IF(L63&gt;=参数配置!$C$26,"增量阶段","存量阶段"),"")</f>
        <v/>
      </c>
    </row>
    <row r="64">
      <c r="A64" s="15" t="n"/>
      <c r="B64" s="32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IFERROR(IF(L64&gt;=参数配置!$C$26,"增量阶段","存量阶段"),"")</f>
        <v/>
      </c>
    </row>
    <row r="65">
      <c r="A65" s="15" t="n"/>
      <c r="B65" s="32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IFERROR(IF(L65&gt;=参数配置!$C$26,"增量阶段","存量阶段"),"")</f>
        <v/>
      </c>
    </row>
    <row r="66">
      <c r="A66" s="15" t="n"/>
      <c r="B66" s="32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IFERROR(IF(L66&gt;=参数配置!$C$26,"增量阶段","存量阶段"),"")</f>
        <v/>
      </c>
    </row>
    <row r="67">
      <c r="A67" s="15" t="n"/>
      <c r="B67" s="32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IFERROR(IF(L67&gt;=参数配置!$C$26,"增量阶段","存量阶段"),"")</f>
        <v/>
      </c>
    </row>
    <row r="68">
      <c r="A68" s="15" t="n"/>
      <c r="B68" s="32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IFERROR(IF(L68&gt;=参数配置!$C$26,"增量阶段","存量阶段"),"")</f>
        <v/>
      </c>
    </row>
    <row r="69">
      <c r="A69" s="15" t="n"/>
      <c r="B69" s="32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IFERROR(IF(L69&gt;=参数配置!$C$26,"增量阶段","存量阶段"),"")</f>
        <v/>
      </c>
    </row>
    <row r="70">
      <c r="A70" s="15" t="n"/>
      <c r="B70" s="32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IFERROR(IF(L70&gt;=参数配置!$C$26,"增量阶段","存量阶段"),"")</f>
        <v/>
      </c>
    </row>
    <row r="71">
      <c r="A71" s="15" t="n"/>
      <c r="B71" s="32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IFERROR(IF(L71&gt;=参数配置!$C$26,"增量阶段","存量阶段"),"")</f>
        <v/>
      </c>
    </row>
    <row r="72">
      <c r="A72" s="15" t="n"/>
      <c r="B72" s="32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IFERROR(IF(L72&gt;=参数配置!$C$26,"增量阶段","存量阶段"),"")</f>
        <v/>
      </c>
    </row>
    <row r="73">
      <c r="A73" s="15" t="n"/>
      <c r="B73" s="32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IFERROR(IF(L73&gt;=参数配置!$C$26,"增量阶段","存量阶段"),"")</f>
        <v/>
      </c>
    </row>
    <row r="74">
      <c r="A74" s="15" t="n"/>
      <c r="B74" s="32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IFERROR(IF(L74&gt;=参数配置!$C$26,"增量阶段","存量阶段"),"")</f>
        <v/>
      </c>
    </row>
    <row r="75">
      <c r="A75" s="15" t="n"/>
      <c r="B75" s="32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IFERROR(IF(L75&gt;=参数配置!$C$26,"增量阶段","存量阶段"),"")</f>
        <v/>
      </c>
    </row>
    <row r="76">
      <c r="A76" s="15" t="n"/>
      <c r="B76" s="32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IFERROR(IF(L76&gt;=参数配置!$C$26,"增量阶段","存量阶段"),"")</f>
        <v/>
      </c>
    </row>
    <row r="77">
      <c r="A77" s="15" t="n"/>
      <c r="B77" s="32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IFERROR(IF(L77&gt;=参数配置!$C$26,"增量阶段","存量阶段"),"")</f>
        <v/>
      </c>
    </row>
    <row r="78">
      <c r="A78" s="15" t="n"/>
      <c r="B78" s="32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IFERROR(IF(L78&gt;=参数配置!$C$26,"增量阶段","存量阶段"),"")</f>
        <v/>
      </c>
    </row>
    <row r="79">
      <c r="A79" s="15" t="n"/>
      <c r="B79" s="32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IFERROR(IF(L79&gt;=参数配置!$C$26,"增量阶段","存量阶段"),"")</f>
        <v/>
      </c>
    </row>
    <row r="80">
      <c r="A80" s="15" t="n"/>
      <c r="B80" s="32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IFERROR(IF(L80&gt;=参数配置!$C$26,"增量阶段","存量阶段"),"")</f>
        <v/>
      </c>
    </row>
    <row r="81">
      <c r="A81" s="15" t="n"/>
      <c r="B81" s="32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IFERROR(IF(L81&gt;=参数配置!$C$26,"增量阶段","存量阶段"),"")</f>
        <v/>
      </c>
    </row>
    <row r="82">
      <c r="A82" s="15" t="n"/>
      <c r="B82" s="32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IFERROR(IF(L82&gt;=参数配置!$C$26,"增量阶段","存量阶段"),"")</f>
        <v/>
      </c>
    </row>
    <row r="83">
      <c r="A83" s="15" t="n"/>
      <c r="B83" s="32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IFERROR(IF(L83&gt;=参数配置!$C$26,"增量阶段","存量阶段"),"")</f>
        <v/>
      </c>
    </row>
    <row r="84">
      <c r="A84" s="15" t="n"/>
      <c r="B84" s="32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IFERROR(IF(L84&gt;=参数配置!$C$26,"增量阶段","存量阶段"),"")</f>
        <v/>
      </c>
    </row>
    <row r="85">
      <c r="A85" s="15" t="n"/>
      <c r="B85" s="32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IFERROR(IF(L85&gt;=参数配置!$C$26,"增量阶段","存量阶段"),"")</f>
        <v/>
      </c>
    </row>
    <row r="86">
      <c r="A86" s="15" t="n"/>
      <c r="B86" s="32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IFERROR(IF(L86&gt;=参数配置!$C$26,"增量阶段","存量阶段"),"")</f>
        <v/>
      </c>
    </row>
    <row r="87">
      <c r="A87" s="15" t="n"/>
      <c r="B87" s="32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IFERROR(IF(L87&gt;=参数配置!$C$26,"增量阶段","存量阶段"),"")</f>
        <v/>
      </c>
    </row>
    <row r="88">
      <c r="A88" s="15" t="n"/>
      <c r="B88" s="32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IFERROR(IF(L88&gt;=参数配置!$C$26,"增量阶段","存量阶段"),"")</f>
        <v/>
      </c>
    </row>
    <row r="89">
      <c r="A89" s="15" t="n"/>
      <c r="B89" s="32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IFERROR(IF(L89&gt;=参数配置!$C$26,"增量阶段","存量阶段"),"")</f>
        <v/>
      </c>
    </row>
    <row r="90">
      <c r="A90" s="15" t="n"/>
      <c r="B90" s="32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IFERROR(IF(L90&gt;=参数配置!$C$26,"增量阶段","存量阶段"),"")</f>
        <v/>
      </c>
    </row>
    <row r="91">
      <c r="A91" s="15" t="n"/>
      <c r="B91" s="32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IFERROR(IF(L91&gt;=参数配置!$C$26,"增量阶段","存量阶段"),"")</f>
        <v/>
      </c>
    </row>
    <row r="92">
      <c r="A92" s="15" t="n"/>
      <c r="B92" s="32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IFERROR(IF(L92&gt;=参数配置!$C$26,"增量阶段","存量阶段"),"")</f>
        <v/>
      </c>
    </row>
    <row r="93">
      <c r="A93" s="15" t="n"/>
      <c r="B93" s="32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IFERROR(IF(L93&gt;=参数配置!$C$26,"增量阶段","存量阶段"),"")</f>
        <v/>
      </c>
    </row>
    <row r="94">
      <c r="A94" s="15" t="n"/>
      <c r="B94" s="32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IFERROR(IF(L94&gt;=参数配置!$C$26,"增量阶段","存量阶段"),"")</f>
        <v/>
      </c>
    </row>
    <row r="95">
      <c r="A95" s="15" t="n"/>
      <c r="B95" s="32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IFERROR(IF(L95&gt;=参数配置!$C$26,"增量阶段","存量阶段"),"")</f>
        <v/>
      </c>
    </row>
    <row r="96">
      <c r="A96" s="15" t="n"/>
      <c r="B96" s="32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IFERROR(IF(L96&gt;=参数配置!$C$26,"增量阶段","存量阶段"),"")</f>
        <v/>
      </c>
    </row>
    <row r="97">
      <c r="A97" s="15" t="n"/>
      <c r="B97" s="32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IFERROR(IF(L97&gt;=参数配置!$C$26,"增量阶段","存量阶段"),"")</f>
        <v/>
      </c>
    </row>
    <row r="98">
      <c r="A98" s="15" t="n"/>
      <c r="B98" s="32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IFERROR(IF(L98&gt;=参数配置!$C$26,"增量阶段","存量阶段"),"")</f>
        <v/>
      </c>
    </row>
    <row r="99">
      <c r="A99" s="15" t="n"/>
      <c r="B99" s="32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IFERROR(IF(L99&gt;=参数配置!$C$26,"增量阶段","存量阶段"),"")</f>
        <v/>
      </c>
    </row>
    <row r="100">
      <c r="A100" s="15" t="n"/>
      <c r="B100" s="32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IFERROR(IF(L100&gt;=参数配置!$C$26,"增量阶段","存量阶段"),"")</f>
        <v/>
      </c>
    </row>
    <row r="101">
      <c r="A101" s="15" t="n"/>
      <c r="B101" s="32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IFERROR(IF(L101&gt;=参数配置!$C$26,"增量阶段","存量阶段"),"")</f>
        <v/>
      </c>
    </row>
    <row r="102">
      <c r="A102" s="15" t="n"/>
      <c r="B102" s="32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IFERROR(IF(L102&gt;=参数配置!$C$26,"增量阶段","存量阶段"),"")</f>
        <v/>
      </c>
    </row>
    <row r="103">
      <c r="A103" s="15" t="n"/>
      <c r="B103" s="32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IFERROR(IF(L103&gt;=参数配置!$C$26,"增量阶段","存量阶段"),"")</f>
        <v/>
      </c>
    </row>
    <row r="104">
      <c r="A104" s="15" t="n"/>
      <c r="B104" s="32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IFERROR(IF(L104&gt;=参数配置!$C$26,"增量阶段","存量阶段"),"")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33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33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33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33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34">
        <f>SUM(D5:D8)</f>
        <v/>
      </c>
    </row>
    <row r="11">
      <c r="A11" s="4" t="inlineStr">
        <is>
          <t>常规定投</t>
        </is>
      </c>
      <c r="B11" s="4" t="inlineStr">
        <is>
          <t>参数</t>
        </is>
      </c>
      <c r="C11" s="4" t="inlineStr">
        <is>
          <t>数值</t>
        </is>
      </c>
      <c r="D11" s="4" t="inlineStr">
        <is>
          <t>说明</t>
        </is>
      </c>
    </row>
    <row r="12">
      <c r="A12" s="6" t="inlineStr">
        <is>
          <t>常规应投封顶</t>
        </is>
      </c>
      <c r="B12" s="6" t="inlineStr"/>
      <c r="C12" s="15" t="n">
        <v>2.5</v>
      </c>
      <c r="D12" s="20" t="inlineStr">
        <is>
          <t>基准金额 × 2.5 倍</t>
        </is>
      </c>
    </row>
    <row r="14">
      <c r="A14" s="4" t="inlineStr">
        <is>
          <t>网格收割</t>
        </is>
      </c>
      <c r="B14" s="4" t="inlineStr">
        <is>
          <t>档位</t>
        </is>
      </c>
      <c r="C14" s="4" t="inlineStr">
        <is>
          <t>偏离度触发阈值</t>
        </is>
      </c>
      <c r="D14" s="4" t="inlineStr">
        <is>
          <t>卖出比例（超额部分）</t>
        </is>
      </c>
      <c r="E14" s="4" t="inlineStr">
        <is>
          <t>说明</t>
        </is>
      </c>
    </row>
    <row r="15">
      <c r="A15" s="6" t="inlineStr">
        <is>
          <t>一档</t>
        </is>
      </c>
      <c r="B15" s="6" t="inlineStr"/>
      <c r="C15" s="35" t="n">
        <v>0.15</v>
      </c>
      <c r="D15" s="22" t="n">
        <v>0.2</v>
      </c>
      <c r="E15" s="20" t="inlineStr">
        <is>
          <t>轻度超买</t>
        </is>
      </c>
    </row>
    <row r="16">
      <c r="A16" s="6" t="inlineStr">
        <is>
          <t>二档</t>
        </is>
      </c>
      <c r="B16" s="6" t="inlineStr"/>
      <c r="C16" s="35" t="n">
        <v>0.22</v>
      </c>
      <c r="D16" s="22" t="n">
        <v>0.35</v>
      </c>
      <c r="E16" s="20" t="inlineStr">
        <is>
          <t>中度超买</t>
        </is>
      </c>
    </row>
    <row r="17">
      <c r="A17" s="6" t="inlineStr">
        <is>
          <t>三档</t>
        </is>
      </c>
      <c r="B17" s="6" t="inlineStr"/>
      <c r="C17" s="35" t="n">
        <v>0.28</v>
      </c>
      <c r="D17" s="22" t="n">
        <v>0.5</v>
      </c>
      <c r="E17" s="20" t="inlineStr">
        <is>
          <t>重度超买</t>
        </is>
      </c>
    </row>
    <row r="18">
      <c r="A18" s="6" t="inlineStr">
        <is>
          <t>极端清仓</t>
        </is>
      </c>
      <c r="B18" s="6" t="inlineStr"/>
      <c r="C18" s="35" t="n">
        <v>0.4</v>
      </c>
      <c r="D18" s="22" t="n">
        <v>1</v>
      </c>
      <c r="E18" s="20" t="inlineStr">
        <is>
          <t>清仓并冷却</t>
        </is>
      </c>
    </row>
    <row r="20">
      <c r="A20" s="4" t="inlineStr">
        <is>
          <t>大跌加码</t>
        </is>
      </c>
      <c r="B20" s="4" t="inlineStr">
        <is>
          <t>档位</t>
        </is>
      </c>
      <c r="C20" s="4" t="inlineStr">
        <is>
          <t>偏离度触发阈值</t>
        </is>
      </c>
      <c r="D20" s="4" t="inlineStr">
        <is>
          <t>加码金额（基准×比例）</t>
        </is>
      </c>
      <c r="E20" s="4" t="inlineStr">
        <is>
          <t>说明</t>
        </is>
      </c>
    </row>
    <row r="21">
      <c r="A21" s="6" t="inlineStr">
        <is>
          <t>一档</t>
        </is>
      </c>
      <c r="B21" s="6" t="inlineStr"/>
      <c r="C21" s="22" t="n">
        <v>-0.08</v>
      </c>
      <c r="D21" s="22" t="n">
        <v>0.4</v>
      </c>
      <c r="E21" s="20" t="inlineStr">
        <is>
          <t>轻度超卖</t>
        </is>
      </c>
    </row>
    <row r="22">
      <c r="A22" s="6" t="inlineStr">
        <is>
          <t>二档</t>
        </is>
      </c>
      <c r="B22" s="6" t="inlineStr"/>
      <c r="C22" s="22" t="n">
        <v>-0.18</v>
      </c>
      <c r="D22" s="22" t="n">
        <v>0.7</v>
      </c>
      <c r="E22" s="20" t="inlineStr">
        <is>
          <t>中度超卖</t>
        </is>
      </c>
    </row>
    <row r="23">
      <c r="A23" s="6" t="inlineStr">
        <is>
          <t>三档</t>
        </is>
      </c>
      <c r="B23" s="6" t="inlineStr"/>
      <c r="C23" s="22" t="n">
        <v>-0.26</v>
      </c>
      <c r="D23" s="22" t="n">
        <v>1</v>
      </c>
      <c r="E23" s="20" t="inlineStr">
        <is>
          <t>重度超卖</t>
        </is>
      </c>
    </row>
    <row r="25">
      <c r="A25" s="3" t="inlineStr">
        <is>
          <t>五、增量阶段</t>
        </is>
      </c>
    </row>
    <row r="26">
      <c r="A26" s="5" t="inlineStr">
        <is>
          <t>触发门槛（累计净投入）</t>
        </is>
      </c>
      <c r="B26" s="6" t="inlineStr"/>
      <c r="C26" s="17" t="n">
        <v>150000</v>
      </c>
      <c r="D26" s="20" t="inlineStr">
        <is>
          <t>达到后切换为增量阶段，买卖均走储备金池</t>
        </is>
      </c>
      <c r="E26" s="36" t="n"/>
    </row>
    <row r="27">
      <c r="A27" s="5" t="inlineStr">
        <is>
          <t>每期增量注入金额</t>
        </is>
      </c>
      <c r="B27" s="6" t="inlineStr"/>
      <c r="C27" s="17" t="n">
        <v>2000</v>
      </c>
      <c r="D27" s="20" t="inlineStr">
        <is>
          <t>每期向储备金池注入的新增资金</t>
        </is>
      </c>
      <c r="E27" s="36" t="n"/>
    </row>
  </sheetData>
  <mergeCells count="4">
    <mergeCell ref="A2:F2"/>
    <mergeCell ref="D26:E26"/>
    <mergeCell ref="A1:F1"/>
    <mergeCell ref="D27:E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2" t="inlineStr">
        <is>
          <t>2026-04-24</t>
        </is>
      </c>
      <c r="B5" s="15" t="n">
        <v>1</v>
      </c>
      <c r="C5" s="7">
        <f>IFERROR(参数配置!$C$5*B5,"")</f>
        <v/>
      </c>
      <c r="D5" s="26" t="n">
        <v>4.774</v>
      </c>
      <c r="E5" s="26" t="n">
        <v>4.348</v>
      </c>
      <c r="F5" s="27">
        <f>IFERROR((D5-E5)/E5,"")</f>
        <v/>
      </c>
      <c r="G5" s="26" t="n">
        <v>0</v>
      </c>
      <c r="H5" s="7">
        <f>IFERROR(G5*D5,"")</f>
        <v/>
      </c>
      <c r="I5" s="7">
        <f>IFERROR(IF(F5&gt;=参数配置!$C$18,0,MAX(0,MIN(C5-H5,参数配置!$C$5*参数配置!$C$12))),"")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参数配置!$C$5*参数配置!$D$23,IF(F5&lt;=参数配置!$C$22,参数配置!$C$5*参数配置!$D$22,IF(F5&lt;=参数配置!$C$21,参数配置!$C$5*参数配置!$D$21,I5))))))),"")</f>
        <v/>
      </c>
      <c r="L5" s="17" t="n">
        <v>1432.2</v>
      </c>
      <c r="M5" s="26" t="n">
        <v>300</v>
      </c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32" t="n"/>
      <c r="B6" s="15" t="n"/>
      <c r="C6" s="7">
        <f>IFERROR(参数配置!$C$5*B6,"")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IFERROR(IF(F6&gt;=参数配置!$C$18,0,MAX(0,MIN(C6-H6,参数配置!$C$5*参数配置!$C$12))),"")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参数配置!$C$5*参数配置!$D$23,IF(F6&lt;=参数配置!$C$22,参数配置!$C$5*参数配置!$D$22,IF(F6&lt;=参数配置!$C$21,参数配置!$C$5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32" t="n"/>
      <c r="B7" s="15" t="n"/>
      <c r="C7" s="7">
        <f>IFERROR(参数配置!$C$5*B7,"")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IFERROR(IF(F7&gt;=参数配置!$C$18,0,MAX(0,MIN(C7-H7,参数配置!$C$5*参数配置!$C$12))),"")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参数配置!$C$5*参数配置!$D$23,IF(F7&lt;=参数配置!$C$22,参数配置!$C$5*参数配置!$D$22,IF(F7&lt;=参数配置!$C$21,参数配置!$C$5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32" t="n"/>
      <c r="B8" s="15" t="n"/>
      <c r="C8" s="7">
        <f>IFERROR(参数配置!$C$5*B8,"")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IFERROR(IF(F8&gt;=参数配置!$C$18,0,MAX(0,MIN(C8-H8,参数配置!$C$5*参数配置!$C$12))),"")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参数配置!$C$5*参数配置!$D$23,IF(F8&lt;=参数配置!$C$22,参数配置!$C$5*参数配置!$D$22,IF(F8&lt;=参数配置!$C$21,参数配置!$C$5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32" t="n"/>
      <c r="B9" s="15" t="n"/>
      <c r="C9" s="7">
        <f>IFERROR(参数配置!$C$5*B9,"")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IFERROR(IF(F9&gt;=参数配置!$C$18,0,MAX(0,MIN(C9-H9,参数配置!$C$5*参数配置!$C$12))),"")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参数配置!$C$5*参数配置!$D$23,IF(F9&lt;=参数配置!$C$22,参数配置!$C$5*参数配置!$D$22,IF(F9&lt;=参数配置!$C$21,参数配置!$C$5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32" t="n"/>
      <c r="B10" s="15" t="n"/>
      <c r="C10" s="7">
        <f>IFERROR(参数配置!$C$5*B10,"")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IFERROR(IF(F10&gt;=参数配置!$C$18,0,MAX(0,MIN(C10-H10,参数配置!$C$5*参数配置!$C$12))),"")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参数配置!$C$5*参数配置!$D$23,IF(F10&lt;=参数配置!$C$22,参数配置!$C$5*参数配置!$D$22,IF(F10&lt;=参数配置!$C$21,参数配置!$C$5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32" t="n"/>
      <c r="B11" s="15" t="n"/>
      <c r="C11" s="7">
        <f>IFERROR(参数配置!$C$5*B11,"")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IFERROR(IF(F11&gt;=参数配置!$C$18,0,MAX(0,MIN(C11-H11,参数配置!$C$5*参数配置!$C$12))),"")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参数配置!$C$5*参数配置!$D$23,IF(F11&lt;=参数配置!$C$22,参数配置!$C$5*参数配置!$D$22,IF(F11&lt;=参数配置!$C$21,参数配置!$C$5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32" t="n"/>
      <c r="B12" s="15" t="n"/>
      <c r="C12" s="7">
        <f>IFERROR(参数配置!$C$5*B12,"")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IFERROR(IF(F12&gt;=参数配置!$C$18,0,MAX(0,MIN(C12-H12,参数配置!$C$5*参数配置!$C$12))),"")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参数配置!$C$5*参数配置!$D$23,IF(F12&lt;=参数配置!$C$22,参数配置!$C$5*参数配置!$D$22,IF(F12&lt;=参数配置!$C$21,参数配置!$C$5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32" t="n"/>
      <c r="B13" s="15" t="n"/>
      <c r="C13" s="7">
        <f>IFERROR(参数配置!$C$5*B13,"")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IFERROR(IF(F13&gt;=参数配置!$C$18,0,MAX(0,MIN(C13-H13,参数配置!$C$5*参数配置!$C$12))),"")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参数配置!$C$5*参数配置!$D$23,IF(F13&lt;=参数配置!$C$22,参数配置!$C$5*参数配置!$D$22,IF(F13&lt;=参数配置!$C$21,参数配置!$C$5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32" t="n"/>
      <c r="B14" s="15" t="n"/>
      <c r="C14" s="7">
        <f>IFERROR(参数配置!$C$5*B14,"")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IFERROR(IF(F14&gt;=参数配置!$C$18,0,MAX(0,MIN(C14-H14,参数配置!$C$5*参数配置!$C$12))),"")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参数配置!$C$5*参数配置!$D$23,IF(F14&lt;=参数配置!$C$22,参数配置!$C$5*参数配置!$D$22,IF(F14&lt;=参数配置!$C$21,参数配置!$C$5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32" t="n"/>
      <c r="B15" s="15" t="n"/>
      <c r="C15" s="7">
        <f>IFERROR(参数配置!$C$5*B15,"")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IFERROR(IF(F15&gt;=参数配置!$C$18,0,MAX(0,MIN(C15-H15,参数配置!$C$5*参数配置!$C$12))),"")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参数配置!$C$5*参数配置!$D$23,IF(F15&lt;=参数配置!$C$22,参数配置!$C$5*参数配置!$D$22,IF(F15&lt;=参数配置!$C$21,参数配置!$C$5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32" t="n"/>
      <c r="B16" s="15" t="n"/>
      <c r="C16" s="7">
        <f>IFERROR(参数配置!$C$5*B16,"")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IFERROR(IF(F16&gt;=参数配置!$C$18,0,MAX(0,MIN(C16-H16,参数配置!$C$5*参数配置!$C$12))),"")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参数配置!$C$5*参数配置!$D$23,IF(F16&lt;=参数配置!$C$22,参数配置!$C$5*参数配置!$D$22,IF(F16&lt;=参数配置!$C$21,参数配置!$C$5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32" t="n"/>
      <c r="B17" s="15" t="n"/>
      <c r="C17" s="7">
        <f>IFERROR(参数配置!$C$5*B17,"")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IFERROR(IF(F17&gt;=参数配置!$C$18,0,MAX(0,MIN(C17-H17,参数配置!$C$5*参数配置!$C$12))),"")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参数配置!$C$5*参数配置!$D$23,IF(F17&lt;=参数配置!$C$22,参数配置!$C$5*参数配置!$D$22,IF(F17&lt;=参数配置!$C$21,参数配置!$C$5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32" t="n"/>
      <c r="B18" s="15" t="n"/>
      <c r="C18" s="7">
        <f>IFERROR(参数配置!$C$5*B18,"")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IFERROR(IF(F18&gt;=参数配置!$C$18,0,MAX(0,MIN(C18-H18,参数配置!$C$5*参数配置!$C$12))),"")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参数配置!$C$5*参数配置!$D$23,IF(F18&lt;=参数配置!$C$22,参数配置!$C$5*参数配置!$D$22,IF(F18&lt;=参数配置!$C$21,参数配置!$C$5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32" t="n"/>
      <c r="B19" s="15" t="n"/>
      <c r="C19" s="7">
        <f>IFERROR(参数配置!$C$5*B19,"")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IFERROR(IF(F19&gt;=参数配置!$C$18,0,MAX(0,MIN(C19-H19,参数配置!$C$5*参数配置!$C$12))),"")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参数配置!$C$5*参数配置!$D$23,IF(F19&lt;=参数配置!$C$22,参数配置!$C$5*参数配置!$D$22,IF(F19&lt;=参数配置!$C$21,参数配置!$C$5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32" t="n"/>
      <c r="B20" s="15" t="n"/>
      <c r="C20" s="7">
        <f>IFERROR(参数配置!$C$5*B20,"")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IFERROR(IF(F20&gt;=参数配置!$C$18,0,MAX(0,MIN(C20-H20,参数配置!$C$5*参数配置!$C$12))),"")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参数配置!$C$5*参数配置!$D$23,IF(F20&lt;=参数配置!$C$22,参数配置!$C$5*参数配置!$D$22,IF(F20&lt;=参数配置!$C$21,参数配置!$C$5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32" t="n"/>
      <c r="B21" s="15" t="n"/>
      <c r="C21" s="7">
        <f>IFERROR(参数配置!$C$5*B21,"")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IFERROR(IF(F21&gt;=参数配置!$C$18,0,MAX(0,MIN(C21-H21,参数配置!$C$5*参数配置!$C$12))),"")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参数配置!$C$5*参数配置!$D$23,IF(F21&lt;=参数配置!$C$22,参数配置!$C$5*参数配置!$D$22,IF(F21&lt;=参数配置!$C$21,参数配置!$C$5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32" t="n"/>
      <c r="B22" s="15" t="n"/>
      <c r="C22" s="7">
        <f>IFERROR(参数配置!$C$5*B22,"")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IFERROR(IF(F22&gt;=参数配置!$C$18,0,MAX(0,MIN(C22-H22,参数配置!$C$5*参数配置!$C$12))),"")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参数配置!$C$5*参数配置!$D$23,IF(F22&lt;=参数配置!$C$22,参数配置!$C$5*参数配置!$D$22,IF(F22&lt;=参数配置!$C$21,参数配置!$C$5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32" t="n"/>
      <c r="B23" s="15" t="n"/>
      <c r="C23" s="7">
        <f>IFERROR(参数配置!$C$5*B23,"")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IFERROR(IF(F23&gt;=参数配置!$C$18,0,MAX(0,MIN(C23-H23,参数配置!$C$5*参数配置!$C$12))),"")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参数配置!$C$5*参数配置!$D$23,IF(F23&lt;=参数配置!$C$22,参数配置!$C$5*参数配置!$D$22,IF(F23&lt;=参数配置!$C$21,参数配置!$C$5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32" t="n"/>
      <c r="B24" s="15" t="n"/>
      <c r="C24" s="7">
        <f>IFERROR(参数配置!$C$5*B24,"")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IFERROR(IF(F24&gt;=参数配置!$C$18,0,MAX(0,MIN(C24-H24,参数配置!$C$5*参数配置!$C$12))),"")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参数配置!$C$5*参数配置!$D$23,IF(F24&lt;=参数配置!$C$22,参数配置!$C$5*参数配置!$D$22,IF(F24&lt;=参数配置!$C$21,参数配置!$C$5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32" t="n"/>
      <c r="B25" s="15" t="n"/>
      <c r="C25" s="7">
        <f>IFERROR(参数配置!$C$5*B25,"")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IFERROR(IF(F25&gt;=参数配置!$C$18,0,MAX(0,MIN(C25-H25,参数配置!$C$5*参数配置!$C$12))),"")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参数配置!$C$5*参数配置!$D$23,IF(F25&lt;=参数配置!$C$22,参数配置!$C$5*参数配置!$D$22,IF(F25&lt;=参数配置!$C$21,参数配置!$C$5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32" t="n"/>
      <c r="B26" s="15" t="n"/>
      <c r="C26" s="7">
        <f>IFERROR(参数配置!$C$5*B26,"")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IFERROR(IF(F26&gt;=参数配置!$C$18,0,MAX(0,MIN(C26-H26,参数配置!$C$5*参数配置!$C$12))),"")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参数配置!$C$5*参数配置!$D$23,IF(F26&lt;=参数配置!$C$22,参数配置!$C$5*参数配置!$D$22,IF(F26&lt;=参数配置!$C$21,参数配置!$C$5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32" t="n"/>
      <c r="B27" s="15" t="n"/>
      <c r="C27" s="7">
        <f>IFERROR(参数配置!$C$5*B27,"")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IFERROR(IF(F27&gt;=参数配置!$C$18,0,MAX(0,MIN(C27-H27,参数配置!$C$5*参数配置!$C$12))),"")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参数配置!$C$5*参数配置!$D$23,IF(F27&lt;=参数配置!$C$22,参数配置!$C$5*参数配置!$D$22,IF(F27&lt;=参数配置!$C$21,参数配置!$C$5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32" t="n"/>
      <c r="B28" s="15" t="n"/>
      <c r="C28" s="7">
        <f>IFERROR(参数配置!$C$5*B28,"")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IFERROR(IF(F28&gt;=参数配置!$C$18,0,MAX(0,MIN(C28-H28,参数配置!$C$5*参数配置!$C$12))),"")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参数配置!$C$5*参数配置!$D$23,IF(F28&lt;=参数配置!$C$22,参数配置!$C$5*参数配置!$D$22,IF(F28&lt;=参数配置!$C$21,参数配置!$C$5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32" t="n"/>
      <c r="B29" s="15" t="n"/>
      <c r="C29" s="7">
        <f>IFERROR(参数配置!$C$5*B29,"")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IFERROR(IF(F29&gt;=参数配置!$C$18,0,MAX(0,MIN(C29-H29,参数配置!$C$5*参数配置!$C$12))),"")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参数配置!$C$5*参数配置!$D$23,IF(F29&lt;=参数配置!$C$22,参数配置!$C$5*参数配置!$D$22,IF(F29&lt;=参数配置!$C$21,参数配置!$C$5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32" t="n"/>
      <c r="B30" s="15" t="n"/>
      <c r="C30" s="7">
        <f>IFERROR(参数配置!$C$5*B30,"")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IFERROR(IF(F30&gt;=参数配置!$C$18,0,MAX(0,MIN(C30-H30,参数配置!$C$5*参数配置!$C$12))),"")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参数配置!$C$5*参数配置!$D$23,IF(F30&lt;=参数配置!$C$22,参数配置!$C$5*参数配置!$D$22,IF(F30&lt;=参数配置!$C$21,参数配置!$C$5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32" t="n"/>
      <c r="B31" s="15" t="n"/>
      <c r="C31" s="7">
        <f>IFERROR(参数配置!$C$5*B31,"")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IFERROR(IF(F31&gt;=参数配置!$C$18,0,MAX(0,MIN(C31-H31,参数配置!$C$5*参数配置!$C$12))),"")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参数配置!$C$5*参数配置!$D$23,IF(F31&lt;=参数配置!$C$22,参数配置!$C$5*参数配置!$D$22,IF(F31&lt;=参数配置!$C$21,参数配置!$C$5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32" t="n"/>
      <c r="B32" s="15" t="n"/>
      <c r="C32" s="7">
        <f>IFERROR(参数配置!$C$5*B32,"")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IFERROR(IF(F32&gt;=参数配置!$C$18,0,MAX(0,MIN(C32-H32,参数配置!$C$5*参数配置!$C$12))),"")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参数配置!$C$5*参数配置!$D$23,IF(F32&lt;=参数配置!$C$22,参数配置!$C$5*参数配置!$D$22,IF(F32&lt;=参数配置!$C$21,参数配置!$C$5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32" t="n"/>
      <c r="B33" s="15" t="n"/>
      <c r="C33" s="7">
        <f>IFERROR(参数配置!$C$5*B33,"")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IFERROR(IF(F33&gt;=参数配置!$C$18,0,MAX(0,MIN(C33-H33,参数配置!$C$5*参数配置!$C$12))),"")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参数配置!$C$5*参数配置!$D$23,IF(F33&lt;=参数配置!$C$22,参数配置!$C$5*参数配置!$D$22,IF(F33&lt;=参数配置!$C$21,参数配置!$C$5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32" t="n"/>
      <c r="B34" s="15" t="n"/>
      <c r="C34" s="7">
        <f>IFERROR(参数配置!$C$5*B34,"")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IFERROR(IF(F34&gt;=参数配置!$C$18,0,MAX(0,MIN(C34-H34,参数配置!$C$5*参数配置!$C$12))),"")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参数配置!$C$5*参数配置!$D$23,IF(F34&lt;=参数配置!$C$22,参数配置!$C$5*参数配置!$D$22,IF(F34&lt;=参数配置!$C$21,参数配置!$C$5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32" t="n"/>
      <c r="B35" s="15" t="n"/>
      <c r="C35" s="7">
        <f>IFERROR(参数配置!$C$5*B35,"")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IFERROR(IF(F35&gt;=参数配置!$C$18,0,MAX(0,MIN(C35-H35,参数配置!$C$5*参数配置!$C$12))),"")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参数配置!$C$5*参数配置!$D$23,IF(F35&lt;=参数配置!$C$22,参数配置!$C$5*参数配置!$D$22,IF(F35&lt;=参数配置!$C$21,参数配置!$C$5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32" t="n"/>
      <c r="B36" s="15" t="n"/>
      <c r="C36" s="7">
        <f>IFERROR(参数配置!$C$5*B36,"")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IFERROR(IF(F36&gt;=参数配置!$C$18,0,MAX(0,MIN(C36-H36,参数配置!$C$5*参数配置!$C$12))),"")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参数配置!$C$5*参数配置!$D$23,IF(F36&lt;=参数配置!$C$22,参数配置!$C$5*参数配置!$D$22,IF(F36&lt;=参数配置!$C$21,参数配置!$C$5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32" t="n"/>
      <c r="B37" s="15" t="n"/>
      <c r="C37" s="7">
        <f>IFERROR(参数配置!$C$5*B37,"")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IFERROR(IF(F37&gt;=参数配置!$C$18,0,MAX(0,MIN(C37-H37,参数配置!$C$5*参数配置!$C$12))),"")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参数配置!$C$5*参数配置!$D$23,IF(F37&lt;=参数配置!$C$22,参数配置!$C$5*参数配置!$D$22,IF(F37&lt;=参数配置!$C$21,参数配置!$C$5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32" t="n"/>
      <c r="B38" s="15" t="n"/>
      <c r="C38" s="7">
        <f>IFERROR(参数配置!$C$5*B38,"")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IFERROR(IF(F38&gt;=参数配置!$C$18,0,MAX(0,MIN(C38-H38,参数配置!$C$5*参数配置!$C$12))),"")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参数配置!$C$5*参数配置!$D$23,IF(F38&lt;=参数配置!$C$22,参数配置!$C$5*参数配置!$D$22,IF(F38&lt;=参数配置!$C$21,参数配置!$C$5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32" t="n"/>
      <c r="B39" s="15" t="n"/>
      <c r="C39" s="7">
        <f>IFERROR(参数配置!$C$5*B39,"")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IFERROR(IF(F39&gt;=参数配置!$C$18,0,MAX(0,MIN(C39-H39,参数配置!$C$5*参数配置!$C$12))),"")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参数配置!$C$5*参数配置!$D$23,IF(F39&lt;=参数配置!$C$22,参数配置!$C$5*参数配置!$D$22,IF(F39&lt;=参数配置!$C$21,参数配置!$C$5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32" t="n"/>
      <c r="B40" s="15" t="n"/>
      <c r="C40" s="7">
        <f>IFERROR(参数配置!$C$5*B40,"")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IFERROR(IF(F40&gt;=参数配置!$C$18,0,MAX(0,MIN(C40-H40,参数配置!$C$5*参数配置!$C$12))),"")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参数配置!$C$5*参数配置!$D$23,IF(F40&lt;=参数配置!$C$22,参数配置!$C$5*参数配置!$D$22,IF(F40&lt;=参数配置!$C$21,参数配置!$C$5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32" t="n"/>
      <c r="B41" s="15" t="n"/>
      <c r="C41" s="7">
        <f>IFERROR(参数配置!$C$5*B41,"")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IFERROR(IF(F41&gt;=参数配置!$C$18,0,MAX(0,MIN(C41-H41,参数配置!$C$5*参数配置!$C$12))),"")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参数配置!$C$5*参数配置!$D$23,IF(F41&lt;=参数配置!$C$22,参数配置!$C$5*参数配置!$D$22,IF(F41&lt;=参数配置!$C$21,参数配置!$C$5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32" t="n"/>
      <c r="B42" s="15" t="n"/>
      <c r="C42" s="7">
        <f>IFERROR(参数配置!$C$5*B42,"")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IFERROR(IF(F42&gt;=参数配置!$C$18,0,MAX(0,MIN(C42-H42,参数配置!$C$5*参数配置!$C$12))),"")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参数配置!$C$5*参数配置!$D$23,IF(F42&lt;=参数配置!$C$22,参数配置!$C$5*参数配置!$D$22,IF(F42&lt;=参数配置!$C$21,参数配置!$C$5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32" t="n"/>
      <c r="B43" s="15" t="n"/>
      <c r="C43" s="7">
        <f>IFERROR(参数配置!$C$5*B43,"")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IFERROR(IF(F43&gt;=参数配置!$C$18,0,MAX(0,MIN(C43-H43,参数配置!$C$5*参数配置!$C$12))),"")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参数配置!$C$5*参数配置!$D$23,IF(F43&lt;=参数配置!$C$22,参数配置!$C$5*参数配置!$D$22,IF(F43&lt;=参数配置!$C$21,参数配置!$C$5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32" t="n"/>
      <c r="B44" s="15" t="n"/>
      <c r="C44" s="7">
        <f>IFERROR(参数配置!$C$5*B44,"")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IFERROR(IF(F44&gt;=参数配置!$C$18,0,MAX(0,MIN(C44-H44,参数配置!$C$5*参数配置!$C$12))),"")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参数配置!$C$5*参数配置!$D$23,IF(F44&lt;=参数配置!$C$22,参数配置!$C$5*参数配置!$D$22,IF(F44&lt;=参数配置!$C$21,参数配置!$C$5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32" t="n"/>
      <c r="B45" s="15" t="n"/>
      <c r="C45" s="7">
        <f>IFERROR(参数配置!$C$5*B45,"")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IFERROR(IF(F45&gt;=参数配置!$C$18,0,MAX(0,MIN(C45-H45,参数配置!$C$5*参数配置!$C$12))),"")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参数配置!$C$5*参数配置!$D$23,IF(F45&lt;=参数配置!$C$22,参数配置!$C$5*参数配置!$D$22,IF(F45&lt;=参数配置!$C$21,参数配置!$C$5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32" t="n"/>
      <c r="B46" s="15" t="n"/>
      <c r="C46" s="7">
        <f>IFERROR(参数配置!$C$5*B46,"")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IFERROR(IF(F46&gt;=参数配置!$C$18,0,MAX(0,MIN(C46-H46,参数配置!$C$5*参数配置!$C$12))),"")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参数配置!$C$5*参数配置!$D$23,IF(F46&lt;=参数配置!$C$22,参数配置!$C$5*参数配置!$D$22,IF(F46&lt;=参数配置!$C$21,参数配置!$C$5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32" t="n"/>
      <c r="B47" s="15" t="n"/>
      <c r="C47" s="7">
        <f>IFERROR(参数配置!$C$5*B47,"")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IFERROR(IF(F47&gt;=参数配置!$C$18,0,MAX(0,MIN(C47-H47,参数配置!$C$5*参数配置!$C$12))),"")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参数配置!$C$5*参数配置!$D$23,IF(F47&lt;=参数配置!$C$22,参数配置!$C$5*参数配置!$D$22,IF(F47&lt;=参数配置!$C$21,参数配置!$C$5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32" t="n"/>
      <c r="B48" s="15" t="n"/>
      <c r="C48" s="7">
        <f>IFERROR(参数配置!$C$5*B48,"")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IFERROR(IF(F48&gt;=参数配置!$C$18,0,MAX(0,MIN(C48-H48,参数配置!$C$5*参数配置!$C$12))),"")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参数配置!$C$5*参数配置!$D$23,IF(F48&lt;=参数配置!$C$22,参数配置!$C$5*参数配置!$D$22,IF(F48&lt;=参数配置!$C$21,参数配置!$C$5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32" t="n"/>
      <c r="B49" s="15" t="n"/>
      <c r="C49" s="7">
        <f>IFERROR(参数配置!$C$5*B49,"")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IFERROR(IF(F49&gt;=参数配置!$C$18,0,MAX(0,MIN(C49-H49,参数配置!$C$5*参数配置!$C$12))),"")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参数配置!$C$5*参数配置!$D$23,IF(F49&lt;=参数配置!$C$22,参数配置!$C$5*参数配置!$D$22,IF(F49&lt;=参数配置!$C$21,参数配置!$C$5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32" t="n"/>
      <c r="B50" s="15" t="n"/>
      <c r="C50" s="7">
        <f>IFERROR(参数配置!$C$5*B50,"")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IFERROR(IF(F50&gt;=参数配置!$C$18,0,MAX(0,MIN(C50-H50,参数配置!$C$5*参数配置!$C$12))),"")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参数配置!$C$5*参数配置!$D$23,IF(F50&lt;=参数配置!$C$22,参数配置!$C$5*参数配置!$D$22,IF(F50&lt;=参数配置!$C$21,参数配置!$C$5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32" t="n"/>
      <c r="B51" s="15" t="n"/>
      <c r="C51" s="7">
        <f>IFERROR(参数配置!$C$5*B51,"")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IFERROR(IF(F51&gt;=参数配置!$C$18,0,MAX(0,MIN(C51-H51,参数配置!$C$5*参数配置!$C$12))),"")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参数配置!$C$5*参数配置!$D$23,IF(F51&lt;=参数配置!$C$22,参数配置!$C$5*参数配置!$D$22,IF(F51&lt;=参数配置!$C$21,参数配置!$C$5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32" t="n"/>
      <c r="B52" s="15" t="n"/>
      <c r="C52" s="7">
        <f>IFERROR(参数配置!$C$5*B52,"")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IFERROR(IF(F52&gt;=参数配置!$C$18,0,MAX(0,MIN(C52-H52,参数配置!$C$5*参数配置!$C$12))),"")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参数配置!$C$5*参数配置!$D$23,IF(F52&lt;=参数配置!$C$22,参数配置!$C$5*参数配置!$D$22,IF(F52&lt;=参数配置!$C$21,参数配置!$C$5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32" t="n"/>
      <c r="B53" s="15" t="n"/>
      <c r="C53" s="7">
        <f>IFERROR(参数配置!$C$5*B53,"")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IFERROR(IF(F53&gt;=参数配置!$C$18,0,MAX(0,MIN(C53-H53,参数配置!$C$5*参数配置!$C$12))),"")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参数配置!$C$5*参数配置!$D$23,IF(F53&lt;=参数配置!$C$22,参数配置!$C$5*参数配置!$D$22,IF(F53&lt;=参数配置!$C$21,参数配置!$C$5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32" t="n"/>
      <c r="B54" s="15" t="n"/>
      <c r="C54" s="7">
        <f>IFERROR(参数配置!$C$5*B54,"")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IFERROR(IF(F54&gt;=参数配置!$C$18,0,MAX(0,MIN(C54-H54,参数配置!$C$5*参数配置!$C$12))),"")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参数配置!$C$5*参数配置!$D$23,IF(F54&lt;=参数配置!$C$22,参数配置!$C$5*参数配置!$D$22,IF(F54&lt;=参数配置!$C$21,参数配置!$C$5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32" t="n"/>
      <c r="B55" s="15" t="n"/>
      <c r="C55" s="7">
        <f>IFERROR(参数配置!$C$5*B55,"")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IFERROR(IF(F55&gt;=参数配置!$C$18,0,MAX(0,MIN(C55-H55,参数配置!$C$5*参数配置!$C$12))),"")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参数配置!$C$5*参数配置!$D$23,IF(F55&lt;=参数配置!$C$22,参数配置!$C$5*参数配置!$D$22,IF(F55&lt;=参数配置!$C$21,参数配置!$C$5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32" t="n"/>
      <c r="B56" s="15" t="n"/>
      <c r="C56" s="7">
        <f>IFERROR(参数配置!$C$5*B56,"")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IFERROR(IF(F56&gt;=参数配置!$C$18,0,MAX(0,MIN(C56-H56,参数配置!$C$5*参数配置!$C$12))),"")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参数配置!$C$5*参数配置!$D$23,IF(F56&lt;=参数配置!$C$22,参数配置!$C$5*参数配置!$D$22,IF(F56&lt;=参数配置!$C$21,参数配置!$C$5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32" t="n"/>
      <c r="B57" s="15" t="n"/>
      <c r="C57" s="7">
        <f>IFERROR(参数配置!$C$5*B57,"")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IFERROR(IF(F57&gt;=参数配置!$C$18,0,MAX(0,MIN(C57-H57,参数配置!$C$5*参数配置!$C$12))),"")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参数配置!$C$5*参数配置!$D$23,IF(F57&lt;=参数配置!$C$22,参数配置!$C$5*参数配置!$D$22,IF(F57&lt;=参数配置!$C$21,参数配置!$C$5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32" t="n"/>
      <c r="B58" s="15" t="n"/>
      <c r="C58" s="7">
        <f>IFERROR(参数配置!$C$5*B58,"")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IFERROR(IF(F58&gt;=参数配置!$C$18,0,MAX(0,MIN(C58-H58,参数配置!$C$5*参数配置!$C$12))),"")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参数配置!$C$5*参数配置!$D$23,IF(F58&lt;=参数配置!$C$22,参数配置!$C$5*参数配置!$D$22,IF(F58&lt;=参数配置!$C$21,参数配置!$C$5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32" t="n"/>
      <c r="B59" s="15" t="n"/>
      <c r="C59" s="7">
        <f>IFERROR(参数配置!$C$5*B59,"")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IFERROR(IF(F59&gt;=参数配置!$C$18,0,MAX(0,MIN(C59-H59,参数配置!$C$5*参数配置!$C$12))),"")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参数配置!$C$5*参数配置!$D$23,IF(F59&lt;=参数配置!$C$22,参数配置!$C$5*参数配置!$D$22,IF(F59&lt;=参数配置!$C$21,参数配置!$C$5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32" t="n"/>
      <c r="B60" s="15" t="n"/>
      <c r="C60" s="7">
        <f>IFERROR(参数配置!$C$5*B60,"")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IFERROR(IF(F60&gt;=参数配置!$C$18,0,MAX(0,MIN(C60-H60,参数配置!$C$5*参数配置!$C$12))),"")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参数配置!$C$5*参数配置!$D$23,IF(F60&lt;=参数配置!$C$22,参数配置!$C$5*参数配置!$D$22,IF(F60&lt;=参数配置!$C$21,参数配置!$C$5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32" t="n"/>
      <c r="B61" s="15" t="n"/>
      <c r="C61" s="7">
        <f>IFERROR(参数配置!$C$5*B61,"")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IFERROR(IF(F61&gt;=参数配置!$C$18,0,MAX(0,MIN(C61-H61,参数配置!$C$5*参数配置!$C$12))),"")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参数配置!$C$5*参数配置!$D$23,IF(F61&lt;=参数配置!$C$22,参数配置!$C$5*参数配置!$D$22,IF(F61&lt;=参数配置!$C$21,参数配置!$C$5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32" t="n"/>
      <c r="B62" s="15" t="n"/>
      <c r="C62" s="7">
        <f>IFERROR(参数配置!$C$5*B62,"")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IFERROR(IF(F62&gt;=参数配置!$C$18,0,MAX(0,MIN(C62-H62,参数配置!$C$5*参数配置!$C$12))),"")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参数配置!$C$5*参数配置!$D$23,IF(F62&lt;=参数配置!$C$22,参数配置!$C$5*参数配置!$D$22,IF(F62&lt;=参数配置!$C$21,参数配置!$C$5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32" t="n"/>
      <c r="B63" s="15" t="n"/>
      <c r="C63" s="7">
        <f>IFERROR(参数配置!$C$5*B63,"")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IFERROR(IF(F63&gt;=参数配置!$C$18,0,MAX(0,MIN(C63-H63,参数配置!$C$5*参数配置!$C$12))),"")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参数配置!$C$5*参数配置!$D$23,IF(F63&lt;=参数配置!$C$22,参数配置!$C$5*参数配置!$D$22,IF(F63&lt;=参数配置!$C$21,参数配置!$C$5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32" t="n"/>
      <c r="B64" s="15" t="n"/>
      <c r="C64" s="7">
        <f>IFERROR(参数配置!$C$5*B64,"")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IFERROR(IF(F64&gt;=参数配置!$C$18,0,MAX(0,MIN(C64-H64,参数配置!$C$5*参数配置!$C$12))),"")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参数配置!$C$5*参数配置!$D$23,IF(F64&lt;=参数配置!$C$22,参数配置!$C$5*参数配置!$D$22,IF(F64&lt;=参数配置!$C$21,参数配置!$C$5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32" t="n"/>
      <c r="B65" s="15" t="n"/>
      <c r="C65" s="7">
        <f>IFERROR(参数配置!$C$5*B65,"")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IFERROR(IF(F65&gt;=参数配置!$C$18,0,MAX(0,MIN(C65-H65,参数配置!$C$5*参数配置!$C$12))),"")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参数配置!$C$5*参数配置!$D$23,IF(F65&lt;=参数配置!$C$22,参数配置!$C$5*参数配置!$D$22,IF(F65&lt;=参数配置!$C$21,参数配置!$C$5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32" t="n"/>
      <c r="B66" s="15" t="n"/>
      <c r="C66" s="7">
        <f>IFERROR(参数配置!$C$5*B66,"")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IFERROR(IF(F66&gt;=参数配置!$C$18,0,MAX(0,MIN(C66-H66,参数配置!$C$5*参数配置!$C$12))),"")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参数配置!$C$5*参数配置!$D$23,IF(F66&lt;=参数配置!$C$22,参数配置!$C$5*参数配置!$D$22,IF(F66&lt;=参数配置!$C$21,参数配置!$C$5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32" t="n"/>
      <c r="B67" s="15" t="n"/>
      <c r="C67" s="7">
        <f>IFERROR(参数配置!$C$5*B67,"")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IFERROR(IF(F67&gt;=参数配置!$C$18,0,MAX(0,MIN(C67-H67,参数配置!$C$5*参数配置!$C$12))),"")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参数配置!$C$5*参数配置!$D$23,IF(F67&lt;=参数配置!$C$22,参数配置!$C$5*参数配置!$D$22,IF(F67&lt;=参数配置!$C$21,参数配置!$C$5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32" t="n"/>
      <c r="B68" s="15" t="n"/>
      <c r="C68" s="7">
        <f>IFERROR(参数配置!$C$5*B68,"")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IFERROR(IF(F68&gt;=参数配置!$C$18,0,MAX(0,MIN(C68-H68,参数配置!$C$5*参数配置!$C$12))),"")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参数配置!$C$5*参数配置!$D$23,IF(F68&lt;=参数配置!$C$22,参数配置!$C$5*参数配置!$D$22,IF(F68&lt;=参数配置!$C$21,参数配置!$C$5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32" t="n"/>
      <c r="B69" s="15" t="n"/>
      <c r="C69" s="7">
        <f>IFERROR(参数配置!$C$5*B69,"")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IFERROR(IF(F69&gt;=参数配置!$C$18,0,MAX(0,MIN(C69-H69,参数配置!$C$5*参数配置!$C$12))),"")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参数配置!$C$5*参数配置!$D$23,IF(F69&lt;=参数配置!$C$22,参数配置!$C$5*参数配置!$D$22,IF(F69&lt;=参数配置!$C$21,参数配置!$C$5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32" t="n"/>
      <c r="B70" s="15" t="n"/>
      <c r="C70" s="7">
        <f>IFERROR(参数配置!$C$5*B70,"")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IFERROR(IF(F70&gt;=参数配置!$C$18,0,MAX(0,MIN(C70-H70,参数配置!$C$5*参数配置!$C$12))),"")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参数配置!$C$5*参数配置!$D$23,IF(F70&lt;=参数配置!$C$22,参数配置!$C$5*参数配置!$D$22,IF(F70&lt;=参数配置!$C$21,参数配置!$C$5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32" t="n"/>
      <c r="B71" s="15" t="n"/>
      <c r="C71" s="7">
        <f>IFERROR(参数配置!$C$5*B71,"")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IFERROR(IF(F71&gt;=参数配置!$C$18,0,MAX(0,MIN(C71-H71,参数配置!$C$5*参数配置!$C$12))),"")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参数配置!$C$5*参数配置!$D$23,IF(F71&lt;=参数配置!$C$22,参数配置!$C$5*参数配置!$D$22,IF(F71&lt;=参数配置!$C$21,参数配置!$C$5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32" t="n"/>
      <c r="B72" s="15" t="n"/>
      <c r="C72" s="7">
        <f>IFERROR(参数配置!$C$5*B72,"")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IFERROR(IF(F72&gt;=参数配置!$C$18,0,MAX(0,MIN(C72-H72,参数配置!$C$5*参数配置!$C$12))),"")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参数配置!$C$5*参数配置!$D$23,IF(F72&lt;=参数配置!$C$22,参数配置!$C$5*参数配置!$D$22,IF(F72&lt;=参数配置!$C$21,参数配置!$C$5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32" t="n"/>
      <c r="B73" s="15" t="n"/>
      <c r="C73" s="7">
        <f>IFERROR(参数配置!$C$5*B73,"")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IFERROR(IF(F73&gt;=参数配置!$C$18,0,MAX(0,MIN(C73-H73,参数配置!$C$5*参数配置!$C$12))),"")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参数配置!$C$5*参数配置!$D$23,IF(F73&lt;=参数配置!$C$22,参数配置!$C$5*参数配置!$D$22,IF(F73&lt;=参数配置!$C$21,参数配置!$C$5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32" t="n"/>
      <c r="B74" s="15" t="n"/>
      <c r="C74" s="7">
        <f>IFERROR(参数配置!$C$5*B74,"")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IFERROR(IF(F74&gt;=参数配置!$C$18,0,MAX(0,MIN(C74-H74,参数配置!$C$5*参数配置!$C$12))),"")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参数配置!$C$5*参数配置!$D$23,IF(F74&lt;=参数配置!$C$22,参数配置!$C$5*参数配置!$D$22,IF(F74&lt;=参数配置!$C$21,参数配置!$C$5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32" t="n"/>
      <c r="B75" s="15" t="n"/>
      <c r="C75" s="7">
        <f>IFERROR(参数配置!$C$5*B75,"")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IFERROR(IF(F75&gt;=参数配置!$C$18,0,MAX(0,MIN(C75-H75,参数配置!$C$5*参数配置!$C$12))),"")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参数配置!$C$5*参数配置!$D$23,IF(F75&lt;=参数配置!$C$22,参数配置!$C$5*参数配置!$D$22,IF(F75&lt;=参数配置!$C$21,参数配置!$C$5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32" t="n"/>
      <c r="B76" s="15" t="n"/>
      <c r="C76" s="7">
        <f>IFERROR(参数配置!$C$5*B76,"")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IFERROR(IF(F76&gt;=参数配置!$C$18,0,MAX(0,MIN(C76-H76,参数配置!$C$5*参数配置!$C$12))),"")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参数配置!$C$5*参数配置!$D$23,IF(F76&lt;=参数配置!$C$22,参数配置!$C$5*参数配置!$D$22,IF(F76&lt;=参数配置!$C$21,参数配置!$C$5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32" t="n"/>
      <c r="B77" s="15" t="n"/>
      <c r="C77" s="7">
        <f>IFERROR(参数配置!$C$5*B77,"")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IFERROR(IF(F77&gt;=参数配置!$C$18,0,MAX(0,MIN(C77-H77,参数配置!$C$5*参数配置!$C$12))),"")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参数配置!$C$5*参数配置!$D$23,IF(F77&lt;=参数配置!$C$22,参数配置!$C$5*参数配置!$D$22,IF(F77&lt;=参数配置!$C$21,参数配置!$C$5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32" t="n"/>
      <c r="B78" s="15" t="n"/>
      <c r="C78" s="7">
        <f>IFERROR(参数配置!$C$5*B78,"")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IFERROR(IF(F78&gt;=参数配置!$C$18,0,MAX(0,MIN(C78-H78,参数配置!$C$5*参数配置!$C$12))),"")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参数配置!$C$5*参数配置!$D$23,IF(F78&lt;=参数配置!$C$22,参数配置!$C$5*参数配置!$D$22,IF(F78&lt;=参数配置!$C$21,参数配置!$C$5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32" t="n"/>
      <c r="B79" s="15" t="n"/>
      <c r="C79" s="7">
        <f>IFERROR(参数配置!$C$5*B79,"")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IFERROR(IF(F79&gt;=参数配置!$C$18,0,MAX(0,MIN(C79-H79,参数配置!$C$5*参数配置!$C$12))),"")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参数配置!$C$5*参数配置!$D$23,IF(F79&lt;=参数配置!$C$22,参数配置!$C$5*参数配置!$D$22,IF(F79&lt;=参数配置!$C$21,参数配置!$C$5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32" t="n"/>
      <c r="B80" s="15" t="n"/>
      <c r="C80" s="7">
        <f>IFERROR(参数配置!$C$5*B80,"")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IFERROR(IF(F80&gt;=参数配置!$C$18,0,MAX(0,MIN(C80-H80,参数配置!$C$5*参数配置!$C$12))),"")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参数配置!$C$5*参数配置!$D$23,IF(F80&lt;=参数配置!$C$22,参数配置!$C$5*参数配置!$D$22,IF(F80&lt;=参数配置!$C$21,参数配置!$C$5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32" t="n"/>
      <c r="B81" s="15" t="n"/>
      <c r="C81" s="7">
        <f>IFERROR(参数配置!$C$5*B81,"")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IFERROR(IF(F81&gt;=参数配置!$C$18,0,MAX(0,MIN(C81-H81,参数配置!$C$5*参数配置!$C$12))),"")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参数配置!$C$5*参数配置!$D$23,IF(F81&lt;=参数配置!$C$22,参数配置!$C$5*参数配置!$D$22,IF(F81&lt;=参数配置!$C$21,参数配置!$C$5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32" t="n"/>
      <c r="B82" s="15" t="n"/>
      <c r="C82" s="7">
        <f>IFERROR(参数配置!$C$5*B82,"")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IFERROR(IF(F82&gt;=参数配置!$C$18,0,MAX(0,MIN(C82-H82,参数配置!$C$5*参数配置!$C$12))),"")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参数配置!$C$5*参数配置!$D$23,IF(F82&lt;=参数配置!$C$22,参数配置!$C$5*参数配置!$D$22,IF(F82&lt;=参数配置!$C$21,参数配置!$C$5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32" t="n"/>
      <c r="B83" s="15" t="n"/>
      <c r="C83" s="7">
        <f>IFERROR(参数配置!$C$5*B83,"")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IFERROR(IF(F83&gt;=参数配置!$C$18,0,MAX(0,MIN(C83-H83,参数配置!$C$5*参数配置!$C$12))),"")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参数配置!$C$5*参数配置!$D$23,IF(F83&lt;=参数配置!$C$22,参数配置!$C$5*参数配置!$D$22,IF(F83&lt;=参数配置!$C$21,参数配置!$C$5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32" t="n"/>
      <c r="B84" s="15" t="n"/>
      <c r="C84" s="7">
        <f>IFERROR(参数配置!$C$5*B84,"")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IFERROR(IF(F84&gt;=参数配置!$C$18,0,MAX(0,MIN(C84-H84,参数配置!$C$5*参数配置!$C$12))),"")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参数配置!$C$5*参数配置!$D$23,IF(F84&lt;=参数配置!$C$22,参数配置!$C$5*参数配置!$D$22,IF(F84&lt;=参数配置!$C$21,参数配置!$C$5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32" t="n"/>
      <c r="B85" s="15" t="n"/>
      <c r="C85" s="7">
        <f>IFERROR(参数配置!$C$5*B85,"")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IFERROR(IF(F85&gt;=参数配置!$C$18,0,MAX(0,MIN(C85-H85,参数配置!$C$5*参数配置!$C$12))),"")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参数配置!$C$5*参数配置!$D$23,IF(F85&lt;=参数配置!$C$22,参数配置!$C$5*参数配置!$D$22,IF(F85&lt;=参数配置!$C$21,参数配置!$C$5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32" t="n"/>
      <c r="B86" s="15" t="n"/>
      <c r="C86" s="7">
        <f>IFERROR(参数配置!$C$5*B86,"")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IFERROR(IF(F86&gt;=参数配置!$C$18,0,MAX(0,MIN(C86-H86,参数配置!$C$5*参数配置!$C$12))),"")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参数配置!$C$5*参数配置!$D$23,IF(F86&lt;=参数配置!$C$22,参数配置!$C$5*参数配置!$D$22,IF(F86&lt;=参数配置!$C$21,参数配置!$C$5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32" t="n"/>
      <c r="B87" s="15" t="n"/>
      <c r="C87" s="7">
        <f>IFERROR(参数配置!$C$5*B87,"")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IFERROR(IF(F87&gt;=参数配置!$C$18,0,MAX(0,MIN(C87-H87,参数配置!$C$5*参数配置!$C$12))),"")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参数配置!$C$5*参数配置!$D$23,IF(F87&lt;=参数配置!$C$22,参数配置!$C$5*参数配置!$D$22,IF(F87&lt;=参数配置!$C$21,参数配置!$C$5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32" t="n"/>
      <c r="B88" s="15" t="n"/>
      <c r="C88" s="7">
        <f>IFERROR(参数配置!$C$5*B88,"")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IFERROR(IF(F88&gt;=参数配置!$C$18,0,MAX(0,MIN(C88-H88,参数配置!$C$5*参数配置!$C$12))),"")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参数配置!$C$5*参数配置!$D$23,IF(F88&lt;=参数配置!$C$22,参数配置!$C$5*参数配置!$D$22,IF(F88&lt;=参数配置!$C$21,参数配置!$C$5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32" t="n"/>
      <c r="B89" s="15" t="n"/>
      <c r="C89" s="7">
        <f>IFERROR(参数配置!$C$5*B89,"")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IFERROR(IF(F89&gt;=参数配置!$C$18,0,MAX(0,MIN(C89-H89,参数配置!$C$5*参数配置!$C$12))),"")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参数配置!$C$5*参数配置!$D$23,IF(F89&lt;=参数配置!$C$22,参数配置!$C$5*参数配置!$D$22,IF(F89&lt;=参数配置!$C$21,参数配置!$C$5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32" t="n"/>
      <c r="B90" s="15" t="n"/>
      <c r="C90" s="7">
        <f>IFERROR(参数配置!$C$5*B90,"")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IFERROR(IF(F90&gt;=参数配置!$C$18,0,MAX(0,MIN(C90-H90,参数配置!$C$5*参数配置!$C$12))),"")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参数配置!$C$5*参数配置!$D$23,IF(F90&lt;=参数配置!$C$22,参数配置!$C$5*参数配置!$D$22,IF(F90&lt;=参数配置!$C$21,参数配置!$C$5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32" t="n"/>
      <c r="B91" s="15" t="n"/>
      <c r="C91" s="7">
        <f>IFERROR(参数配置!$C$5*B91,"")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IFERROR(IF(F91&gt;=参数配置!$C$18,0,MAX(0,MIN(C91-H91,参数配置!$C$5*参数配置!$C$12))),"")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参数配置!$C$5*参数配置!$D$23,IF(F91&lt;=参数配置!$C$22,参数配置!$C$5*参数配置!$D$22,IF(F91&lt;=参数配置!$C$21,参数配置!$C$5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32" t="n"/>
      <c r="B92" s="15" t="n"/>
      <c r="C92" s="7">
        <f>IFERROR(参数配置!$C$5*B92,"")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IFERROR(IF(F92&gt;=参数配置!$C$18,0,MAX(0,MIN(C92-H92,参数配置!$C$5*参数配置!$C$12))),"")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参数配置!$C$5*参数配置!$D$23,IF(F92&lt;=参数配置!$C$22,参数配置!$C$5*参数配置!$D$22,IF(F92&lt;=参数配置!$C$21,参数配置!$C$5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32" t="n"/>
      <c r="B93" s="15" t="n"/>
      <c r="C93" s="7">
        <f>IFERROR(参数配置!$C$5*B93,"")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IFERROR(IF(F93&gt;=参数配置!$C$18,0,MAX(0,MIN(C93-H93,参数配置!$C$5*参数配置!$C$12))),"")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参数配置!$C$5*参数配置!$D$23,IF(F93&lt;=参数配置!$C$22,参数配置!$C$5*参数配置!$D$22,IF(F93&lt;=参数配置!$C$21,参数配置!$C$5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32" t="n"/>
      <c r="B94" s="15" t="n"/>
      <c r="C94" s="7">
        <f>IFERROR(参数配置!$C$5*B94,"")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IFERROR(IF(F94&gt;=参数配置!$C$18,0,MAX(0,MIN(C94-H94,参数配置!$C$5*参数配置!$C$12))),"")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参数配置!$C$5*参数配置!$D$23,IF(F94&lt;=参数配置!$C$22,参数配置!$C$5*参数配置!$D$22,IF(F94&lt;=参数配置!$C$21,参数配置!$C$5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32" t="n"/>
      <c r="B95" s="15" t="n"/>
      <c r="C95" s="7">
        <f>IFERROR(参数配置!$C$5*B95,"")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IFERROR(IF(F95&gt;=参数配置!$C$18,0,MAX(0,MIN(C95-H95,参数配置!$C$5*参数配置!$C$12))),"")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参数配置!$C$5*参数配置!$D$23,IF(F95&lt;=参数配置!$C$22,参数配置!$C$5*参数配置!$D$22,IF(F95&lt;=参数配置!$C$21,参数配置!$C$5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32" t="n"/>
      <c r="B96" s="15" t="n"/>
      <c r="C96" s="7">
        <f>IFERROR(参数配置!$C$5*B96,"")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IFERROR(IF(F96&gt;=参数配置!$C$18,0,MAX(0,MIN(C96-H96,参数配置!$C$5*参数配置!$C$12))),"")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参数配置!$C$5*参数配置!$D$23,IF(F96&lt;=参数配置!$C$22,参数配置!$C$5*参数配置!$D$22,IF(F96&lt;=参数配置!$C$21,参数配置!$C$5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32" t="n"/>
      <c r="B97" s="15" t="n"/>
      <c r="C97" s="7">
        <f>IFERROR(参数配置!$C$5*B97,"")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IFERROR(IF(F97&gt;=参数配置!$C$18,0,MAX(0,MIN(C97-H97,参数配置!$C$5*参数配置!$C$12))),"")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参数配置!$C$5*参数配置!$D$23,IF(F97&lt;=参数配置!$C$22,参数配置!$C$5*参数配置!$D$22,IF(F97&lt;=参数配置!$C$21,参数配置!$C$5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32" t="n"/>
      <c r="B98" s="15" t="n"/>
      <c r="C98" s="7">
        <f>IFERROR(参数配置!$C$5*B98,"")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IFERROR(IF(F98&gt;=参数配置!$C$18,0,MAX(0,MIN(C98-H98,参数配置!$C$5*参数配置!$C$12))),"")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参数配置!$C$5*参数配置!$D$23,IF(F98&lt;=参数配置!$C$22,参数配置!$C$5*参数配置!$D$22,IF(F98&lt;=参数配置!$C$21,参数配置!$C$5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32" t="n"/>
      <c r="B99" s="15" t="n"/>
      <c r="C99" s="7">
        <f>IFERROR(参数配置!$C$5*B99,"")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IFERROR(IF(F99&gt;=参数配置!$C$18,0,MAX(0,MIN(C99-H99,参数配置!$C$5*参数配置!$C$12))),"")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参数配置!$C$5*参数配置!$D$23,IF(F99&lt;=参数配置!$C$22,参数配置!$C$5*参数配置!$D$22,IF(F99&lt;=参数配置!$C$21,参数配置!$C$5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32" t="n"/>
      <c r="B100" s="15" t="n"/>
      <c r="C100" s="7">
        <f>IFERROR(参数配置!$C$5*B100,"")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IFERROR(IF(F100&gt;=参数配置!$C$18,0,MAX(0,MIN(C100-H100,参数配置!$C$5*参数配置!$C$12))),"")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参数配置!$C$5*参数配置!$D$23,IF(F100&lt;=参数配置!$C$22,参数配置!$C$5*参数配置!$D$22,IF(F100&lt;=参数配置!$C$21,参数配置!$C$5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32" t="n"/>
      <c r="B101" s="15" t="n"/>
      <c r="C101" s="7">
        <f>IFERROR(参数配置!$C$5*B101,"")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IFERROR(IF(F101&gt;=参数配置!$C$18,0,MAX(0,MIN(C101-H101,参数配置!$C$5*参数配置!$C$12))),"")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参数配置!$C$5*参数配置!$D$23,IF(F101&lt;=参数配置!$C$22,参数配置!$C$5*参数配置!$D$22,IF(F101&lt;=参数配置!$C$21,参数配置!$C$5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32" t="n"/>
      <c r="B102" s="15" t="n"/>
      <c r="C102" s="7">
        <f>IFERROR(参数配置!$C$5*B102,"")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IFERROR(IF(F102&gt;=参数配置!$C$18,0,MAX(0,MIN(C102-H102,参数配置!$C$5*参数配置!$C$12))),"")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参数配置!$C$5*参数配置!$D$23,IF(F102&lt;=参数配置!$C$22,参数配置!$C$5*参数配置!$D$22,IF(F102&lt;=参数配置!$C$21,参数配置!$C$5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32" t="n"/>
      <c r="B103" s="15" t="n"/>
      <c r="C103" s="7">
        <f>IFERROR(参数配置!$C$5*B103,"")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IFERROR(IF(F103&gt;=参数配置!$C$18,0,MAX(0,MIN(C103-H103,参数配置!$C$5*参数配置!$C$12))),"")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参数配置!$C$5*参数配置!$D$23,IF(F103&lt;=参数配置!$C$22,参数配置!$C$5*参数配置!$D$22,IF(F103&lt;=参数配置!$C$21,参数配置!$C$5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32" t="n"/>
      <c r="B104" s="15" t="n"/>
      <c r="C104" s="7">
        <f>IFERROR(参数配置!$C$5*B104,"")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IFERROR(IF(F104&gt;=参数配置!$C$18,0,MAX(0,MIN(C104-H104,参数配置!$C$5*参数配置!$C$12))),"")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参数配置!$C$5*参数配置!$D$23,IF(F104&lt;=参数配置!$C$22,参数配置!$C$5*参数配置!$D$22,IF(F104&lt;=参数配置!$C$21,参数配置!$C$5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2" t="inlineStr">
        <is>
          <t>2026-04-24</t>
        </is>
      </c>
      <c r="B5" s="15" t="n">
        <v>1</v>
      </c>
      <c r="C5" s="7">
        <f>IFERROR(参数配置!$C$6*B5,"")</f>
        <v/>
      </c>
      <c r="D5" s="26" t="n">
        <v>8.302</v>
      </c>
      <c r="E5" s="26" t="n">
        <v>7.032</v>
      </c>
      <c r="F5" s="27">
        <f>IFERROR((D5-E5)/E5,"")</f>
        <v/>
      </c>
      <c r="G5" s="26" t="n">
        <v>0</v>
      </c>
      <c r="H5" s="7">
        <f>IFERROR(G5*D5,"")</f>
        <v/>
      </c>
      <c r="I5" s="7">
        <f>IFERROR(IF(F5&gt;=参数配置!$C$18,0,MAX(0,MIN(C5-H5,参数配置!$C$6*参数配置!$C$12))),"")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参数配置!$C$6*参数配置!$D$23,IF(F5&lt;=参数配置!$C$22,参数配置!$C$6*参数配置!$D$22,IF(F5&lt;=参数配置!$C$21,参数配置!$C$6*参数配置!$D$21,I5))))))),"")</f>
        <v/>
      </c>
      <c r="L5" s="17" t="n">
        <v>830.1999999999999</v>
      </c>
      <c r="M5" s="26" t="n">
        <v>100</v>
      </c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32" t="n"/>
      <c r="B6" s="15" t="n"/>
      <c r="C6" s="7">
        <f>IFERROR(参数配置!$C$6*B6,"")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IFERROR(IF(F6&gt;=参数配置!$C$18,0,MAX(0,MIN(C6-H6,参数配置!$C$6*参数配置!$C$12))),"")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参数配置!$C$6*参数配置!$D$23,IF(F6&lt;=参数配置!$C$22,参数配置!$C$6*参数配置!$D$22,IF(F6&lt;=参数配置!$C$21,参数配置!$C$6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32" t="n"/>
      <c r="B7" s="15" t="n"/>
      <c r="C7" s="7">
        <f>IFERROR(参数配置!$C$6*B7,"")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IFERROR(IF(F7&gt;=参数配置!$C$18,0,MAX(0,MIN(C7-H7,参数配置!$C$6*参数配置!$C$12))),"")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参数配置!$C$6*参数配置!$D$23,IF(F7&lt;=参数配置!$C$22,参数配置!$C$6*参数配置!$D$22,IF(F7&lt;=参数配置!$C$21,参数配置!$C$6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32" t="n"/>
      <c r="B8" s="15" t="n"/>
      <c r="C8" s="7">
        <f>IFERROR(参数配置!$C$6*B8,"")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IFERROR(IF(F8&gt;=参数配置!$C$18,0,MAX(0,MIN(C8-H8,参数配置!$C$6*参数配置!$C$12))),"")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参数配置!$C$6*参数配置!$D$23,IF(F8&lt;=参数配置!$C$22,参数配置!$C$6*参数配置!$D$22,IF(F8&lt;=参数配置!$C$21,参数配置!$C$6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32" t="n"/>
      <c r="B9" s="15" t="n"/>
      <c r="C9" s="7">
        <f>IFERROR(参数配置!$C$6*B9,"")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IFERROR(IF(F9&gt;=参数配置!$C$18,0,MAX(0,MIN(C9-H9,参数配置!$C$6*参数配置!$C$12))),"")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参数配置!$C$6*参数配置!$D$23,IF(F9&lt;=参数配置!$C$22,参数配置!$C$6*参数配置!$D$22,IF(F9&lt;=参数配置!$C$21,参数配置!$C$6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32" t="n"/>
      <c r="B10" s="15" t="n"/>
      <c r="C10" s="7">
        <f>IFERROR(参数配置!$C$6*B10,"")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IFERROR(IF(F10&gt;=参数配置!$C$18,0,MAX(0,MIN(C10-H10,参数配置!$C$6*参数配置!$C$12))),"")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参数配置!$C$6*参数配置!$D$23,IF(F10&lt;=参数配置!$C$22,参数配置!$C$6*参数配置!$D$22,IF(F10&lt;=参数配置!$C$21,参数配置!$C$6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32" t="n"/>
      <c r="B11" s="15" t="n"/>
      <c r="C11" s="7">
        <f>IFERROR(参数配置!$C$6*B11,"")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IFERROR(IF(F11&gt;=参数配置!$C$18,0,MAX(0,MIN(C11-H11,参数配置!$C$6*参数配置!$C$12))),"")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参数配置!$C$6*参数配置!$D$23,IF(F11&lt;=参数配置!$C$22,参数配置!$C$6*参数配置!$D$22,IF(F11&lt;=参数配置!$C$21,参数配置!$C$6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32" t="n"/>
      <c r="B12" s="15" t="n"/>
      <c r="C12" s="7">
        <f>IFERROR(参数配置!$C$6*B12,"")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IFERROR(IF(F12&gt;=参数配置!$C$18,0,MAX(0,MIN(C12-H12,参数配置!$C$6*参数配置!$C$12))),"")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参数配置!$C$6*参数配置!$D$23,IF(F12&lt;=参数配置!$C$22,参数配置!$C$6*参数配置!$D$22,IF(F12&lt;=参数配置!$C$21,参数配置!$C$6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32" t="n"/>
      <c r="B13" s="15" t="n"/>
      <c r="C13" s="7">
        <f>IFERROR(参数配置!$C$6*B13,"")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IFERROR(IF(F13&gt;=参数配置!$C$18,0,MAX(0,MIN(C13-H13,参数配置!$C$6*参数配置!$C$12))),"")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参数配置!$C$6*参数配置!$D$23,IF(F13&lt;=参数配置!$C$22,参数配置!$C$6*参数配置!$D$22,IF(F13&lt;=参数配置!$C$21,参数配置!$C$6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32" t="n"/>
      <c r="B14" s="15" t="n"/>
      <c r="C14" s="7">
        <f>IFERROR(参数配置!$C$6*B14,"")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IFERROR(IF(F14&gt;=参数配置!$C$18,0,MAX(0,MIN(C14-H14,参数配置!$C$6*参数配置!$C$12))),"")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参数配置!$C$6*参数配置!$D$23,IF(F14&lt;=参数配置!$C$22,参数配置!$C$6*参数配置!$D$22,IF(F14&lt;=参数配置!$C$21,参数配置!$C$6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32" t="n"/>
      <c r="B15" s="15" t="n"/>
      <c r="C15" s="7">
        <f>IFERROR(参数配置!$C$6*B15,"")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IFERROR(IF(F15&gt;=参数配置!$C$18,0,MAX(0,MIN(C15-H15,参数配置!$C$6*参数配置!$C$12))),"")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参数配置!$C$6*参数配置!$D$23,IF(F15&lt;=参数配置!$C$22,参数配置!$C$6*参数配置!$D$22,IF(F15&lt;=参数配置!$C$21,参数配置!$C$6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32" t="n"/>
      <c r="B16" s="15" t="n"/>
      <c r="C16" s="7">
        <f>IFERROR(参数配置!$C$6*B16,"")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IFERROR(IF(F16&gt;=参数配置!$C$18,0,MAX(0,MIN(C16-H16,参数配置!$C$6*参数配置!$C$12))),"")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参数配置!$C$6*参数配置!$D$23,IF(F16&lt;=参数配置!$C$22,参数配置!$C$6*参数配置!$D$22,IF(F16&lt;=参数配置!$C$21,参数配置!$C$6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32" t="n"/>
      <c r="B17" s="15" t="n"/>
      <c r="C17" s="7">
        <f>IFERROR(参数配置!$C$6*B17,"")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IFERROR(IF(F17&gt;=参数配置!$C$18,0,MAX(0,MIN(C17-H17,参数配置!$C$6*参数配置!$C$12))),"")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参数配置!$C$6*参数配置!$D$23,IF(F17&lt;=参数配置!$C$22,参数配置!$C$6*参数配置!$D$22,IF(F17&lt;=参数配置!$C$21,参数配置!$C$6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32" t="n"/>
      <c r="B18" s="15" t="n"/>
      <c r="C18" s="7">
        <f>IFERROR(参数配置!$C$6*B18,"")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IFERROR(IF(F18&gt;=参数配置!$C$18,0,MAX(0,MIN(C18-H18,参数配置!$C$6*参数配置!$C$12))),"")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参数配置!$C$6*参数配置!$D$23,IF(F18&lt;=参数配置!$C$22,参数配置!$C$6*参数配置!$D$22,IF(F18&lt;=参数配置!$C$21,参数配置!$C$6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32" t="n"/>
      <c r="B19" s="15" t="n"/>
      <c r="C19" s="7">
        <f>IFERROR(参数配置!$C$6*B19,"")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IFERROR(IF(F19&gt;=参数配置!$C$18,0,MAX(0,MIN(C19-H19,参数配置!$C$6*参数配置!$C$12))),"")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参数配置!$C$6*参数配置!$D$23,IF(F19&lt;=参数配置!$C$22,参数配置!$C$6*参数配置!$D$22,IF(F19&lt;=参数配置!$C$21,参数配置!$C$6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32" t="n"/>
      <c r="B20" s="15" t="n"/>
      <c r="C20" s="7">
        <f>IFERROR(参数配置!$C$6*B20,"")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IFERROR(IF(F20&gt;=参数配置!$C$18,0,MAX(0,MIN(C20-H20,参数配置!$C$6*参数配置!$C$12))),"")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参数配置!$C$6*参数配置!$D$23,IF(F20&lt;=参数配置!$C$22,参数配置!$C$6*参数配置!$D$22,IF(F20&lt;=参数配置!$C$21,参数配置!$C$6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32" t="n"/>
      <c r="B21" s="15" t="n"/>
      <c r="C21" s="7">
        <f>IFERROR(参数配置!$C$6*B21,"")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IFERROR(IF(F21&gt;=参数配置!$C$18,0,MAX(0,MIN(C21-H21,参数配置!$C$6*参数配置!$C$12))),"")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参数配置!$C$6*参数配置!$D$23,IF(F21&lt;=参数配置!$C$22,参数配置!$C$6*参数配置!$D$22,IF(F21&lt;=参数配置!$C$21,参数配置!$C$6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32" t="n"/>
      <c r="B22" s="15" t="n"/>
      <c r="C22" s="7">
        <f>IFERROR(参数配置!$C$6*B22,"")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IFERROR(IF(F22&gt;=参数配置!$C$18,0,MAX(0,MIN(C22-H22,参数配置!$C$6*参数配置!$C$12))),"")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参数配置!$C$6*参数配置!$D$23,IF(F22&lt;=参数配置!$C$22,参数配置!$C$6*参数配置!$D$22,IF(F22&lt;=参数配置!$C$21,参数配置!$C$6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32" t="n"/>
      <c r="B23" s="15" t="n"/>
      <c r="C23" s="7">
        <f>IFERROR(参数配置!$C$6*B23,"")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IFERROR(IF(F23&gt;=参数配置!$C$18,0,MAX(0,MIN(C23-H23,参数配置!$C$6*参数配置!$C$12))),"")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参数配置!$C$6*参数配置!$D$23,IF(F23&lt;=参数配置!$C$22,参数配置!$C$6*参数配置!$D$22,IF(F23&lt;=参数配置!$C$21,参数配置!$C$6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32" t="n"/>
      <c r="B24" s="15" t="n"/>
      <c r="C24" s="7">
        <f>IFERROR(参数配置!$C$6*B24,"")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IFERROR(IF(F24&gt;=参数配置!$C$18,0,MAX(0,MIN(C24-H24,参数配置!$C$6*参数配置!$C$12))),"")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参数配置!$C$6*参数配置!$D$23,IF(F24&lt;=参数配置!$C$22,参数配置!$C$6*参数配置!$D$22,IF(F24&lt;=参数配置!$C$21,参数配置!$C$6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32" t="n"/>
      <c r="B25" s="15" t="n"/>
      <c r="C25" s="7">
        <f>IFERROR(参数配置!$C$6*B25,"")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IFERROR(IF(F25&gt;=参数配置!$C$18,0,MAX(0,MIN(C25-H25,参数配置!$C$6*参数配置!$C$12))),"")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参数配置!$C$6*参数配置!$D$23,IF(F25&lt;=参数配置!$C$22,参数配置!$C$6*参数配置!$D$22,IF(F25&lt;=参数配置!$C$21,参数配置!$C$6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32" t="n"/>
      <c r="B26" s="15" t="n"/>
      <c r="C26" s="7">
        <f>IFERROR(参数配置!$C$6*B26,"")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IFERROR(IF(F26&gt;=参数配置!$C$18,0,MAX(0,MIN(C26-H26,参数配置!$C$6*参数配置!$C$12))),"")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参数配置!$C$6*参数配置!$D$23,IF(F26&lt;=参数配置!$C$22,参数配置!$C$6*参数配置!$D$22,IF(F26&lt;=参数配置!$C$21,参数配置!$C$6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32" t="n"/>
      <c r="B27" s="15" t="n"/>
      <c r="C27" s="7">
        <f>IFERROR(参数配置!$C$6*B27,"")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IFERROR(IF(F27&gt;=参数配置!$C$18,0,MAX(0,MIN(C27-H27,参数配置!$C$6*参数配置!$C$12))),"")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参数配置!$C$6*参数配置!$D$23,IF(F27&lt;=参数配置!$C$22,参数配置!$C$6*参数配置!$D$22,IF(F27&lt;=参数配置!$C$21,参数配置!$C$6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32" t="n"/>
      <c r="B28" s="15" t="n"/>
      <c r="C28" s="7">
        <f>IFERROR(参数配置!$C$6*B28,"")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IFERROR(IF(F28&gt;=参数配置!$C$18,0,MAX(0,MIN(C28-H28,参数配置!$C$6*参数配置!$C$12))),"")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参数配置!$C$6*参数配置!$D$23,IF(F28&lt;=参数配置!$C$22,参数配置!$C$6*参数配置!$D$22,IF(F28&lt;=参数配置!$C$21,参数配置!$C$6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32" t="n"/>
      <c r="B29" s="15" t="n"/>
      <c r="C29" s="7">
        <f>IFERROR(参数配置!$C$6*B29,"")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IFERROR(IF(F29&gt;=参数配置!$C$18,0,MAX(0,MIN(C29-H29,参数配置!$C$6*参数配置!$C$12))),"")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参数配置!$C$6*参数配置!$D$23,IF(F29&lt;=参数配置!$C$22,参数配置!$C$6*参数配置!$D$22,IF(F29&lt;=参数配置!$C$21,参数配置!$C$6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32" t="n"/>
      <c r="B30" s="15" t="n"/>
      <c r="C30" s="7">
        <f>IFERROR(参数配置!$C$6*B30,"")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IFERROR(IF(F30&gt;=参数配置!$C$18,0,MAX(0,MIN(C30-H30,参数配置!$C$6*参数配置!$C$12))),"")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参数配置!$C$6*参数配置!$D$23,IF(F30&lt;=参数配置!$C$22,参数配置!$C$6*参数配置!$D$22,IF(F30&lt;=参数配置!$C$21,参数配置!$C$6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32" t="n"/>
      <c r="B31" s="15" t="n"/>
      <c r="C31" s="7">
        <f>IFERROR(参数配置!$C$6*B31,"")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IFERROR(IF(F31&gt;=参数配置!$C$18,0,MAX(0,MIN(C31-H31,参数配置!$C$6*参数配置!$C$12))),"")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参数配置!$C$6*参数配置!$D$23,IF(F31&lt;=参数配置!$C$22,参数配置!$C$6*参数配置!$D$22,IF(F31&lt;=参数配置!$C$21,参数配置!$C$6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32" t="n"/>
      <c r="B32" s="15" t="n"/>
      <c r="C32" s="7">
        <f>IFERROR(参数配置!$C$6*B32,"")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IFERROR(IF(F32&gt;=参数配置!$C$18,0,MAX(0,MIN(C32-H32,参数配置!$C$6*参数配置!$C$12))),"")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参数配置!$C$6*参数配置!$D$23,IF(F32&lt;=参数配置!$C$22,参数配置!$C$6*参数配置!$D$22,IF(F32&lt;=参数配置!$C$21,参数配置!$C$6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32" t="n"/>
      <c r="B33" s="15" t="n"/>
      <c r="C33" s="7">
        <f>IFERROR(参数配置!$C$6*B33,"")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IFERROR(IF(F33&gt;=参数配置!$C$18,0,MAX(0,MIN(C33-H33,参数配置!$C$6*参数配置!$C$12))),"")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参数配置!$C$6*参数配置!$D$23,IF(F33&lt;=参数配置!$C$22,参数配置!$C$6*参数配置!$D$22,IF(F33&lt;=参数配置!$C$21,参数配置!$C$6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32" t="n"/>
      <c r="B34" s="15" t="n"/>
      <c r="C34" s="7">
        <f>IFERROR(参数配置!$C$6*B34,"")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IFERROR(IF(F34&gt;=参数配置!$C$18,0,MAX(0,MIN(C34-H34,参数配置!$C$6*参数配置!$C$12))),"")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参数配置!$C$6*参数配置!$D$23,IF(F34&lt;=参数配置!$C$22,参数配置!$C$6*参数配置!$D$22,IF(F34&lt;=参数配置!$C$21,参数配置!$C$6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32" t="n"/>
      <c r="B35" s="15" t="n"/>
      <c r="C35" s="7">
        <f>IFERROR(参数配置!$C$6*B35,"")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IFERROR(IF(F35&gt;=参数配置!$C$18,0,MAX(0,MIN(C35-H35,参数配置!$C$6*参数配置!$C$12))),"")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参数配置!$C$6*参数配置!$D$23,IF(F35&lt;=参数配置!$C$22,参数配置!$C$6*参数配置!$D$22,IF(F35&lt;=参数配置!$C$21,参数配置!$C$6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32" t="n"/>
      <c r="B36" s="15" t="n"/>
      <c r="C36" s="7">
        <f>IFERROR(参数配置!$C$6*B36,"")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IFERROR(IF(F36&gt;=参数配置!$C$18,0,MAX(0,MIN(C36-H36,参数配置!$C$6*参数配置!$C$12))),"")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参数配置!$C$6*参数配置!$D$23,IF(F36&lt;=参数配置!$C$22,参数配置!$C$6*参数配置!$D$22,IF(F36&lt;=参数配置!$C$21,参数配置!$C$6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32" t="n"/>
      <c r="B37" s="15" t="n"/>
      <c r="C37" s="7">
        <f>IFERROR(参数配置!$C$6*B37,"")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IFERROR(IF(F37&gt;=参数配置!$C$18,0,MAX(0,MIN(C37-H37,参数配置!$C$6*参数配置!$C$12))),"")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参数配置!$C$6*参数配置!$D$23,IF(F37&lt;=参数配置!$C$22,参数配置!$C$6*参数配置!$D$22,IF(F37&lt;=参数配置!$C$21,参数配置!$C$6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32" t="n"/>
      <c r="B38" s="15" t="n"/>
      <c r="C38" s="7">
        <f>IFERROR(参数配置!$C$6*B38,"")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IFERROR(IF(F38&gt;=参数配置!$C$18,0,MAX(0,MIN(C38-H38,参数配置!$C$6*参数配置!$C$12))),"")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参数配置!$C$6*参数配置!$D$23,IF(F38&lt;=参数配置!$C$22,参数配置!$C$6*参数配置!$D$22,IF(F38&lt;=参数配置!$C$21,参数配置!$C$6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32" t="n"/>
      <c r="B39" s="15" t="n"/>
      <c r="C39" s="7">
        <f>IFERROR(参数配置!$C$6*B39,"")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IFERROR(IF(F39&gt;=参数配置!$C$18,0,MAX(0,MIN(C39-H39,参数配置!$C$6*参数配置!$C$12))),"")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参数配置!$C$6*参数配置!$D$23,IF(F39&lt;=参数配置!$C$22,参数配置!$C$6*参数配置!$D$22,IF(F39&lt;=参数配置!$C$21,参数配置!$C$6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32" t="n"/>
      <c r="B40" s="15" t="n"/>
      <c r="C40" s="7">
        <f>IFERROR(参数配置!$C$6*B40,"")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IFERROR(IF(F40&gt;=参数配置!$C$18,0,MAX(0,MIN(C40-H40,参数配置!$C$6*参数配置!$C$12))),"")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参数配置!$C$6*参数配置!$D$23,IF(F40&lt;=参数配置!$C$22,参数配置!$C$6*参数配置!$D$22,IF(F40&lt;=参数配置!$C$21,参数配置!$C$6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32" t="n"/>
      <c r="B41" s="15" t="n"/>
      <c r="C41" s="7">
        <f>IFERROR(参数配置!$C$6*B41,"")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IFERROR(IF(F41&gt;=参数配置!$C$18,0,MAX(0,MIN(C41-H41,参数配置!$C$6*参数配置!$C$12))),"")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参数配置!$C$6*参数配置!$D$23,IF(F41&lt;=参数配置!$C$22,参数配置!$C$6*参数配置!$D$22,IF(F41&lt;=参数配置!$C$21,参数配置!$C$6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32" t="n"/>
      <c r="B42" s="15" t="n"/>
      <c r="C42" s="7">
        <f>IFERROR(参数配置!$C$6*B42,"")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IFERROR(IF(F42&gt;=参数配置!$C$18,0,MAX(0,MIN(C42-H42,参数配置!$C$6*参数配置!$C$12))),"")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参数配置!$C$6*参数配置!$D$23,IF(F42&lt;=参数配置!$C$22,参数配置!$C$6*参数配置!$D$22,IF(F42&lt;=参数配置!$C$21,参数配置!$C$6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32" t="n"/>
      <c r="B43" s="15" t="n"/>
      <c r="C43" s="7">
        <f>IFERROR(参数配置!$C$6*B43,"")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IFERROR(IF(F43&gt;=参数配置!$C$18,0,MAX(0,MIN(C43-H43,参数配置!$C$6*参数配置!$C$12))),"")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参数配置!$C$6*参数配置!$D$23,IF(F43&lt;=参数配置!$C$22,参数配置!$C$6*参数配置!$D$22,IF(F43&lt;=参数配置!$C$21,参数配置!$C$6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32" t="n"/>
      <c r="B44" s="15" t="n"/>
      <c r="C44" s="7">
        <f>IFERROR(参数配置!$C$6*B44,"")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IFERROR(IF(F44&gt;=参数配置!$C$18,0,MAX(0,MIN(C44-H44,参数配置!$C$6*参数配置!$C$12))),"")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参数配置!$C$6*参数配置!$D$23,IF(F44&lt;=参数配置!$C$22,参数配置!$C$6*参数配置!$D$22,IF(F44&lt;=参数配置!$C$21,参数配置!$C$6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32" t="n"/>
      <c r="B45" s="15" t="n"/>
      <c r="C45" s="7">
        <f>IFERROR(参数配置!$C$6*B45,"")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IFERROR(IF(F45&gt;=参数配置!$C$18,0,MAX(0,MIN(C45-H45,参数配置!$C$6*参数配置!$C$12))),"")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参数配置!$C$6*参数配置!$D$23,IF(F45&lt;=参数配置!$C$22,参数配置!$C$6*参数配置!$D$22,IF(F45&lt;=参数配置!$C$21,参数配置!$C$6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32" t="n"/>
      <c r="B46" s="15" t="n"/>
      <c r="C46" s="7">
        <f>IFERROR(参数配置!$C$6*B46,"")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IFERROR(IF(F46&gt;=参数配置!$C$18,0,MAX(0,MIN(C46-H46,参数配置!$C$6*参数配置!$C$12))),"")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参数配置!$C$6*参数配置!$D$23,IF(F46&lt;=参数配置!$C$22,参数配置!$C$6*参数配置!$D$22,IF(F46&lt;=参数配置!$C$21,参数配置!$C$6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32" t="n"/>
      <c r="B47" s="15" t="n"/>
      <c r="C47" s="7">
        <f>IFERROR(参数配置!$C$6*B47,"")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IFERROR(IF(F47&gt;=参数配置!$C$18,0,MAX(0,MIN(C47-H47,参数配置!$C$6*参数配置!$C$12))),"")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参数配置!$C$6*参数配置!$D$23,IF(F47&lt;=参数配置!$C$22,参数配置!$C$6*参数配置!$D$22,IF(F47&lt;=参数配置!$C$21,参数配置!$C$6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32" t="n"/>
      <c r="B48" s="15" t="n"/>
      <c r="C48" s="7">
        <f>IFERROR(参数配置!$C$6*B48,"")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IFERROR(IF(F48&gt;=参数配置!$C$18,0,MAX(0,MIN(C48-H48,参数配置!$C$6*参数配置!$C$12))),"")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参数配置!$C$6*参数配置!$D$23,IF(F48&lt;=参数配置!$C$22,参数配置!$C$6*参数配置!$D$22,IF(F48&lt;=参数配置!$C$21,参数配置!$C$6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32" t="n"/>
      <c r="B49" s="15" t="n"/>
      <c r="C49" s="7">
        <f>IFERROR(参数配置!$C$6*B49,"")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IFERROR(IF(F49&gt;=参数配置!$C$18,0,MAX(0,MIN(C49-H49,参数配置!$C$6*参数配置!$C$12))),"")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参数配置!$C$6*参数配置!$D$23,IF(F49&lt;=参数配置!$C$22,参数配置!$C$6*参数配置!$D$22,IF(F49&lt;=参数配置!$C$21,参数配置!$C$6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32" t="n"/>
      <c r="B50" s="15" t="n"/>
      <c r="C50" s="7">
        <f>IFERROR(参数配置!$C$6*B50,"")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IFERROR(IF(F50&gt;=参数配置!$C$18,0,MAX(0,MIN(C50-H50,参数配置!$C$6*参数配置!$C$12))),"")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参数配置!$C$6*参数配置!$D$23,IF(F50&lt;=参数配置!$C$22,参数配置!$C$6*参数配置!$D$22,IF(F50&lt;=参数配置!$C$21,参数配置!$C$6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32" t="n"/>
      <c r="B51" s="15" t="n"/>
      <c r="C51" s="7">
        <f>IFERROR(参数配置!$C$6*B51,"")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IFERROR(IF(F51&gt;=参数配置!$C$18,0,MAX(0,MIN(C51-H51,参数配置!$C$6*参数配置!$C$12))),"")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参数配置!$C$6*参数配置!$D$23,IF(F51&lt;=参数配置!$C$22,参数配置!$C$6*参数配置!$D$22,IF(F51&lt;=参数配置!$C$21,参数配置!$C$6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32" t="n"/>
      <c r="B52" s="15" t="n"/>
      <c r="C52" s="7">
        <f>IFERROR(参数配置!$C$6*B52,"")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IFERROR(IF(F52&gt;=参数配置!$C$18,0,MAX(0,MIN(C52-H52,参数配置!$C$6*参数配置!$C$12))),"")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参数配置!$C$6*参数配置!$D$23,IF(F52&lt;=参数配置!$C$22,参数配置!$C$6*参数配置!$D$22,IF(F52&lt;=参数配置!$C$21,参数配置!$C$6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32" t="n"/>
      <c r="B53" s="15" t="n"/>
      <c r="C53" s="7">
        <f>IFERROR(参数配置!$C$6*B53,"")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IFERROR(IF(F53&gt;=参数配置!$C$18,0,MAX(0,MIN(C53-H53,参数配置!$C$6*参数配置!$C$12))),"")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参数配置!$C$6*参数配置!$D$23,IF(F53&lt;=参数配置!$C$22,参数配置!$C$6*参数配置!$D$22,IF(F53&lt;=参数配置!$C$21,参数配置!$C$6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32" t="n"/>
      <c r="B54" s="15" t="n"/>
      <c r="C54" s="7">
        <f>IFERROR(参数配置!$C$6*B54,"")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IFERROR(IF(F54&gt;=参数配置!$C$18,0,MAX(0,MIN(C54-H54,参数配置!$C$6*参数配置!$C$12))),"")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参数配置!$C$6*参数配置!$D$23,IF(F54&lt;=参数配置!$C$22,参数配置!$C$6*参数配置!$D$22,IF(F54&lt;=参数配置!$C$21,参数配置!$C$6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32" t="n"/>
      <c r="B55" s="15" t="n"/>
      <c r="C55" s="7">
        <f>IFERROR(参数配置!$C$6*B55,"")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IFERROR(IF(F55&gt;=参数配置!$C$18,0,MAX(0,MIN(C55-H55,参数配置!$C$6*参数配置!$C$12))),"")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参数配置!$C$6*参数配置!$D$23,IF(F55&lt;=参数配置!$C$22,参数配置!$C$6*参数配置!$D$22,IF(F55&lt;=参数配置!$C$21,参数配置!$C$6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32" t="n"/>
      <c r="B56" s="15" t="n"/>
      <c r="C56" s="7">
        <f>IFERROR(参数配置!$C$6*B56,"")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IFERROR(IF(F56&gt;=参数配置!$C$18,0,MAX(0,MIN(C56-H56,参数配置!$C$6*参数配置!$C$12))),"")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参数配置!$C$6*参数配置!$D$23,IF(F56&lt;=参数配置!$C$22,参数配置!$C$6*参数配置!$D$22,IF(F56&lt;=参数配置!$C$21,参数配置!$C$6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32" t="n"/>
      <c r="B57" s="15" t="n"/>
      <c r="C57" s="7">
        <f>IFERROR(参数配置!$C$6*B57,"")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IFERROR(IF(F57&gt;=参数配置!$C$18,0,MAX(0,MIN(C57-H57,参数配置!$C$6*参数配置!$C$12))),"")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参数配置!$C$6*参数配置!$D$23,IF(F57&lt;=参数配置!$C$22,参数配置!$C$6*参数配置!$D$22,IF(F57&lt;=参数配置!$C$21,参数配置!$C$6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32" t="n"/>
      <c r="B58" s="15" t="n"/>
      <c r="C58" s="7">
        <f>IFERROR(参数配置!$C$6*B58,"")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IFERROR(IF(F58&gt;=参数配置!$C$18,0,MAX(0,MIN(C58-H58,参数配置!$C$6*参数配置!$C$12))),"")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参数配置!$C$6*参数配置!$D$23,IF(F58&lt;=参数配置!$C$22,参数配置!$C$6*参数配置!$D$22,IF(F58&lt;=参数配置!$C$21,参数配置!$C$6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32" t="n"/>
      <c r="B59" s="15" t="n"/>
      <c r="C59" s="7">
        <f>IFERROR(参数配置!$C$6*B59,"")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IFERROR(IF(F59&gt;=参数配置!$C$18,0,MAX(0,MIN(C59-H59,参数配置!$C$6*参数配置!$C$12))),"")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参数配置!$C$6*参数配置!$D$23,IF(F59&lt;=参数配置!$C$22,参数配置!$C$6*参数配置!$D$22,IF(F59&lt;=参数配置!$C$21,参数配置!$C$6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32" t="n"/>
      <c r="B60" s="15" t="n"/>
      <c r="C60" s="7">
        <f>IFERROR(参数配置!$C$6*B60,"")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IFERROR(IF(F60&gt;=参数配置!$C$18,0,MAX(0,MIN(C60-H60,参数配置!$C$6*参数配置!$C$12))),"")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参数配置!$C$6*参数配置!$D$23,IF(F60&lt;=参数配置!$C$22,参数配置!$C$6*参数配置!$D$22,IF(F60&lt;=参数配置!$C$21,参数配置!$C$6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32" t="n"/>
      <c r="B61" s="15" t="n"/>
      <c r="C61" s="7">
        <f>IFERROR(参数配置!$C$6*B61,"")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IFERROR(IF(F61&gt;=参数配置!$C$18,0,MAX(0,MIN(C61-H61,参数配置!$C$6*参数配置!$C$12))),"")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参数配置!$C$6*参数配置!$D$23,IF(F61&lt;=参数配置!$C$22,参数配置!$C$6*参数配置!$D$22,IF(F61&lt;=参数配置!$C$21,参数配置!$C$6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32" t="n"/>
      <c r="B62" s="15" t="n"/>
      <c r="C62" s="7">
        <f>IFERROR(参数配置!$C$6*B62,"")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IFERROR(IF(F62&gt;=参数配置!$C$18,0,MAX(0,MIN(C62-H62,参数配置!$C$6*参数配置!$C$12))),"")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参数配置!$C$6*参数配置!$D$23,IF(F62&lt;=参数配置!$C$22,参数配置!$C$6*参数配置!$D$22,IF(F62&lt;=参数配置!$C$21,参数配置!$C$6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32" t="n"/>
      <c r="B63" s="15" t="n"/>
      <c r="C63" s="7">
        <f>IFERROR(参数配置!$C$6*B63,"")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IFERROR(IF(F63&gt;=参数配置!$C$18,0,MAX(0,MIN(C63-H63,参数配置!$C$6*参数配置!$C$12))),"")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参数配置!$C$6*参数配置!$D$23,IF(F63&lt;=参数配置!$C$22,参数配置!$C$6*参数配置!$D$22,IF(F63&lt;=参数配置!$C$21,参数配置!$C$6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32" t="n"/>
      <c r="B64" s="15" t="n"/>
      <c r="C64" s="7">
        <f>IFERROR(参数配置!$C$6*B64,"")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IFERROR(IF(F64&gt;=参数配置!$C$18,0,MAX(0,MIN(C64-H64,参数配置!$C$6*参数配置!$C$12))),"")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参数配置!$C$6*参数配置!$D$23,IF(F64&lt;=参数配置!$C$22,参数配置!$C$6*参数配置!$D$22,IF(F64&lt;=参数配置!$C$21,参数配置!$C$6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32" t="n"/>
      <c r="B65" s="15" t="n"/>
      <c r="C65" s="7">
        <f>IFERROR(参数配置!$C$6*B65,"")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IFERROR(IF(F65&gt;=参数配置!$C$18,0,MAX(0,MIN(C65-H65,参数配置!$C$6*参数配置!$C$12))),"")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参数配置!$C$6*参数配置!$D$23,IF(F65&lt;=参数配置!$C$22,参数配置!$C$6*参数配置!$D$22,IF(F65&lt;=参数配置!$C$21,参数配置!$C$6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32" t="n"/>
      <c r="B66" s="15" t="n"/>
      <c r="C66" s="7">
        <f>IFERROR(参数配置!$C$6*B66,"")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IFERROR(IF(F66&gt;=参数配置!$C$18,0,MAX(0,MIN(C66-H66,参数配置!$C$6*参数配置!$C$12))),"")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参数配置!$C$6*参数配置!$D$23,IF(F66&lt;=参数配置!$C$22,参数配置!$C$6*参数配置!$D$22,IF(F66&lt;=参数配置!$C$21,参数配置!$C$6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32" t="n"/>
      <c r="B67" s="15" t="n"/>
      <c r="C67" s="7">
        <f>IFERROR(参数配置!$C$6*B67,"")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IFERROR(IF(F67&gt;=参数配置!$C$18,0,MAX(0,MIN(C67-H67,参数配置!$C$6*参数配置!$C$12))),"")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参数配置!$C$6*参数配置!$D$23,IF(F67&lt;=参数配置!$C$22,参数配置!$C$6*参数配置!$D$22,IF(F67&lt;=参数配置!$C$21,参数配置!$C$6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32" t="n"/>
      <c r="B68" s="15" t="n"/>
      <c r="C68" s="7">
        <f>IFERROR(参数配置!$C$6*B68,"")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IFERROR(IF(F68&gt;=参数配置!$C$18,0,MAX(0,MIN(C68-H68,参数配置!$C$6*参数配置!$C$12))),"")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参数配置!$C$6*参数配置!$D$23,IF(F68&lt;=参数配置!$C$22,参数配置!$C$6*参数配置!$D$22,IF(F68&lt;=参数配置!$C$21,参数配置!$C$6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32" t="n"/>
      <c r="B69" s="15" t="n"/>
      <c r="C69" s="7">
        <f>IFERROR(参数配置!$C$6*B69,"")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IFERROR(IF(F69&gt;=参数配置!$C$18,0,MAX(0,MIN(C69-H69,参数配置!$C$6*参数配置!$C$12))),"")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参数配置!$C$6*参数配置!$D$23,IF(F69&lt;=参数配置!$C$22,参数配置!$C$6*参数配置!$D$22,IF(F69&lt;=参数配置!$C$21,参数配置!$C$6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32" t="n"/>
      <c r="B70" s="15" t="n"/>
      <c r="C70" s="7">
        <f>IFERROR(参数配置!$C$6*B70,"")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IFERROR(IF(F70&gt;=参数配置!$C$18,0,MAX(0,MIN(C70-H70,参数配置!$C$6*参数配置!$C$12))),"")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参数配置!$C$6*参数配置!$D$23,IF(F70&lt;=参数配置!$C$22,参数配置!$C$6*参数配置!$D$22,IF(F70&lt;=参数配置!$C$21,参数配置!$C$6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32" t="n"/>
      <c r="B71" s="15" t="n"/>
      <c r="C71" s="7">
        <f>IFERROR(参数配置!$C$6*B71,"")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IFERROR(IF(F71&gt;=参数配置!$C$18,0,MAX(0,MIN(C71-H71,参数配置!$C$6*参数配置!$C$12))),"")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参数配置!$C$6*参数配置!$D$23,IF(F71&lt;=参数配置!$C$22,参数配置!$C$6*参数配置!$D$22,IF(F71&lt;=参数配置!$C$21,参数配置!$C$6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32" t="n"/>
      <c r="B72" s="15" t="n"/>
      <c r="C72" s="7">
        <f>IFERROR(参数配置!$C$6*B72,"")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IFERROR(IF(F72&gt;=参数配置!$C$18,0,MAX(0,MIN(C72-H72,参数配置!$C$6*参数配置!$C$12))),"")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参数配置!$C$6*参数配置!$D$23,IF(F72&lt;=参数配置!$C$22,参数配置!$C$6*参数配置!$D$22,IF(F72&lt;=参数配置!$C$21,参数配置!$C$6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32" t="n"/>
      <c r="B73" s="15" t="n"/>
      <c r="C73" s="7">
        <f>IFERROR(参数配置!$C$6*B73,"")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IFERROR(IF(F73&gt;=参数配置!$C$18,0,MAX(0,MIN(C73-H73,参数配置!$C$6*参数配置!$C$12))),"")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参数配置!$C$6*参数配置!$D$23,IF(F73&lt;=参数配置!$C$22,参数配置!$C$6*参数配置!$D$22,IF(F73&lt;=参数配置!$C$21,参数配置!$C$6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32" t="n"/>
      <c r="B74" s="15" t="n"/>
      <c r="C74" s="7">
        <f>IFERROR(参数配置!$C$6*B74,"")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IFERROR(IF(F74&gt;=参数配置!$C$18,0,MAX(0,MIN(C74-H74,参数配置!$C$6*参数配置!$C$12))),"")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参数配置!$C$6*参数配置!$D$23,IF(F74&lt;=参数配置!$C$22,参数配置!$C$6*参数配置!$D$22,IF(F74&lt;=参数配置!$C$21,参数配置!$C$6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32" t="n"/>
      <c r="B75" s="15" t="n"/>
      <c r="C75" s="7">
        <f>IFERROR(参数配置!$C$6*B75,"")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IFERROR(IF(F75&gt;=参数配置!$C$18,0,MAX(0,MIN(C75-H75,参数配置!$C$6*参数配置!$C$12))),"")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参数配置!$C$6*参数配置!$D$23,IF(F75&lt;=参数配置!$C$22,参数配置!$C$6*参数配置!$D$22,IF(F75&lt;=参数配置!$C$21,参数配置!$C$6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32" t="n"/>
      <c r="B76" s="15" t="n"/>
      <c r="C76" s="7">
        <f>IFERROR(参数配置!$C$6*B76,"")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IFERROR(IF(F76&gt;=参数配置!$C$18,0,MAX(0,MIN(C76-H76,参数配置!$C$6*参数配置!$C$12))),"")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参数配置!$C$6*参数配置!$D$23,IF(F76&lt;=参数配置!$C$22,参数配置!$C$6*参数配置!$D$22,IF(F76&lt;=参数配置!$C$21,参数配置!$C$6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32" t="n"/>
      <c r="B77" s="15" t="n"/>
      <c r="C77" s="7">
        <f>IFERROR(参数配置!$C$6*B77,"")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IFERROR(IF(F77&gt;=参数配置!$C$18,0,MAX(0,MIN(C77-H77,参数配置!$C$6*参数配置!$C$12))),"")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参数配置!$C$6*参数配置!$D$23,IF(F77&lt;=参数配置!$C$22,参数配置!$C$6*参数配置!$D$22,IF(F77&lt;=参数配置!$C$21,参数配置!$C$6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32" t="n"/>
      <c r="B78" s="15" t="n"/>
      <c r="C78" s="7">
        <f>IFERROR(参数配置!$C$6*B78,"")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IFERROR(IF(F78&gt;=参数配置!$C$18,0,MAX(0,MIN(C78-H78,参数配置!$C$6*参数配置!$C$12))),"")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参数配置!$C$6*参数配置!$D$23,IF(F78&lt;=参数配置!$C$22,参数配置!$C$6*参数配置!$D$22,IF(F78&lt;=参数配置!$C$21,参数配置!$C$6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32" t="n"/>
      <c r="B79" s="15" t="n"/>
      <c r="C79" s="7">
        <f>IFERROR(参数配置!$C$6*B79,"")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IFERROR(IF(F79&gt;=参数配置!$C$18,0,MAX(0,MIN(C79-H79,参数配置!$C$6*参数配置!$C$12))),"")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参数配置!$C$6*参数配置!$D$23,IF(F79&lt;=参数配置!$C$22,参数配置!$C$6*参数配置!$D$22,IF(F79&lt;=参数配置!$C$21,参数配置!$C$6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32" t="n"/>
      <c r="B80" s="15" t="n"/>
      <c r="C80" s="7">
        <f>IFERROR(参数配置!$C$6*B80,"")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IFERROR(IF(F80&gt;=参数配置!$C$18,0,MAX(0,MIN(C80-H80,参数配置!$C$6*参数配置!$C$12))),"")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参数配置!$C$6*参数配置!$D$23,IF(F80&lt;=参数配置!$C$22,参数配置!$C$6*参数配置!$D$22,IF(F80&lt;=参数配置!$C$21,参数配置!$C$6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32" t="n"/>
      <c r="B81" s="15" t="n"/>
      <c r="C81" s="7">
        <f>IFERROR(参数配置!$C$6*B81,"")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IFERROR(IF(F81&gt;=参数配置!$C$18,0,MAX(0,MIN(C81-H81,参数配置!$C$6*参数配置!$C$12))),"")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参数配置!$C$6*参数配置!$D$23,IF(F81&lt;=参数配置!$C$22,参数配置!$C$6*参数配置!$D$22,IF(F81&lt;=参数配置!$C$21,参数配置!$C$6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32" t="n"/>
      <c r="B82" s="15" t="n"/>
      <c r="C82" s="7">
        <f>IFERROR(参数配置!$C$6*B82,"")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IFERROR(IF(F82&gt;=参数配置!$C$18,0,MAX(0,MIN(C82-H82,参数配置!$C$6*参数配置!$C$12))),"")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参数配置!$C$6*参数配置!$D$23,IF(F82&lt;=参数配置!$C$22,参数配置!$C$6*参数配置!$D$22,IF(F82&lt;=参数配置!$C$21,参数配置!$C$6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32" t="n"/>
      <c r="B83" s="15" t="n"/>
      <c r="C83" s="7">
        <f>IFERROR(参数配置!$C$6*B83,"")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IFERROR(IF(F83&gt;=参数配置!$C$18,0,MAX(0,MIN(C83-H83,参数配置!$C$6*参数配置!$C$12))),"")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参数配置!$C$6*参数配置!$D$23,IF(F83&lt;=参数配置!$C$22,参数配置!$C$6*参数配置!$D$22,IF(F83&lt;=参数配置!$C$21,参数配置!$C$6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32" t="n"/>
      <c r="B84" s="15" t="n"/>
      <c r="C84" s="7">
        <f>IFERROR(参数配置!$C$6*B84,"")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IFERROR(IF(F84&gt;=参数配置!$C$18,0,MAX(0,MIN(C84-H84,参数配置!$C$6*参数配置!$C$12))),"")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参数配置!$C$6*参数配置!$D$23,IF(F84&lt;=参数配置!$C$22,参数配置!$C$6*参数配置!$D$22,IF(F84&lt;=参数配置!$C$21,参数配置!$C$6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32" t="n"/>
      <c r="B85" s="15" t="n"/>
      <c r="C85" s="7">
        <f>IFERROR(参数配置!$C$6*B85,"")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IFERROR(IF(F85&gt;=参数配置!$C$18,0,MAX(0,MIN(C85-H85,参数配置!$C$6*参数配置!$C$12))),"")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参数配置!$C$6*参数配置!$D$23,IF(F85&lt;=参数配置!$C$22,参数配置!$C$6*参数配置!$D$22,IF(F85&lt;=参数配置!$C$21,参数配置!$C$6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32" t="n"/>
      <c r="B86" s="15" t="n"/>
      <c r="C86" s="7">
        <f>IFERROR(参数配置!$C$6*B86,"")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IFERROR(IF(F86&gt;=参数配置!$C$18,0,MAX(0,MIN(C86-H86,参数配置!$C$6*参数配置!$C$12))),"")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参数配置!$C$6*参数配置!$D$23,IF(F86&lt;=参数配置!$C$22,参数配置!$C$6*参数配置!$D$22,IF(F86&lt;=参数配置!$C$21,参数配置!$C$6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32" t="n"/>
      <c r="B87" s="15" t="n"/>
      <c r="C87" s="7">
        <f>IFERROR(参数配置!$C$6*B87,"")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IFERROR(IF(F87&gt;=参数配置!$C$18,0,MAX(0,MIN(C87-H87,参数配置!$C$6*参数配置!$C$12))),"")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参数配置!$C$6*参数配置!$D$23,IF(F87&lt;=参数配置!$C$22,参数配置!$C$6*参数配置!$D$22,IF(F87&lt;=参数配置!$C$21,参数配置!$C$6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32" t="n"/>
      <c r="B88" s="15" t="n"/>
      <c r="C88" s="7">
        <f>IFERROR(参数配置!$C$6*B88,"")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IFERROR(IF(F88&gt;=参数配置!$C$18,0,MAX(0,MIN(C88-H88,参数配置!$C$6*参数配置!$C$12))),"")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参数配置!$C$6*参数配置!$D$23,IF(F88&lt;=参数配置!$C$22,参数配置!$C$6*参数配置!$D$22,IF(F88&lt;=参数配置!$C$21,参数配置!$C$6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32" t="n"/>
      <c r="B89" s="15" t="n"/>
      <c r="C89" s="7">
        <f>IFERROR(参数配置!$C$6*B89,"")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IFERROR(IF(F89&gt;=参数配置!$C$18,0,MAX(0,MIN(C89-H89,参数配置!$C$6*参数配置!$C$12))),"")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参数配置!$C$6*参数配置!$D$23,IF(F89&lt;=参数配置!$C$22,参数配置!$C$6*参数配置!$D$22,IF(F89&lt;=参数配置!$C$21,参数配置!$C$6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32" t="n"/>
      <c r="B90" s="15" t="n"/>
      <c r="C90" s="7">
        <f>IFERROR(参数配置!$C$6*B90,"")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IFERROR(IF(F90&gt;=参数配置!$C$18,0,MAX(0,MIN(C90-H90,参数配置!$C$6*参数配置!$C$12))),"")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参数配置!$C$6*参数配置!$D$23,IF(F90&lt;=参数配置!$C$22,参数配置!$C$6*参数配置!$D$22,IF(F90&lt;=参数配置!$C$21,参数配置!$C$6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32" t="n"/>
      <c r="B91" s="15" t="n"/>
      <c r="C91" s="7">
        <f>IFERROR(参数配置!$C$6*B91,"")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IFERROR(IF(F91&gt;=参数配置!$C$18,0,MAX(0,MIN(C91-H91,参数配置!$C$6*参数配置!$C$12))),"")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参数配置!$C$6*参数配置!$D$23,IF(F91&lt;=参数配置!$C$22,参数配置!$C$6*参数配置!$D$22,IF(F91&lt;=参数配置!$C$21,参数配置!$C$6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32" t="n"/>
      <c r="B92" s="15" t="n"/>
      <c r="C92" s="7">
        <f>IFERROR(参数配置!$C$6*B92,"")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IFERROR(IF(F92&gt;=参数配置!$C$18,0,MAX(0,MIN(C92-H92,参数配置!$C$6*参数配置!$C$12))),"")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参数配置!$C$6*参数配置!$D$23,IF(F92&lt;=参数配置!$C$22,参数配置!$C$6*参数配置!$D$22,IF(F92&lt;=参数配置!$C$21,参数配置!$C$6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32" t="n"/>
      <c r="B93" s="15" t="n"/>
      <c r="C93" s="7">
        <f>IFERROR(参数配置!$C$6*B93,"")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IFERROR(IF(F93&gt;=参数配置!$C$18,0,MAX(0,MIN(C93-H93,参数配置!$C$6*参数配置!$C$12))),"")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参数配置!$C$6*参数配置!$D$23,IF(F93&lt;=参数配置!$C$22,参数配置!$C$6*参数配置!$D$22,IF(F93&lt;=参数配置!$C$21,参数配置!$C$6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32" t="n"/>
      <c r="B94" s="15" t="n"/>
      <c r="C94" s="7">
        <f>IFERROR(参数配置!$C$6*B94,"")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IFERROR(IF(F94&gt;=参数配置!$C$18,0,MAX(0,MIN(C94-H94,参数配置!$C$6*参数配置!$C$12))),"")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参数配置!$C$6*参数配置!$D$23,IF(F94&lt;=参数配置!$C$22,参数配置!$C$6*参数配置!$D$22,IF(F94&lt;=参数配置!$C$21,参数配置!$C$6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32" t="n"/>
      <c r="B95" s="15" t="n"/>
      <c r="C95" s="7">
        <f>IFERROR(参数配置!$C$6*B95,"")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IFERROR(IF(F95&gt;=参数配置!$C$18,0,MAX(0,MIN(C95-H95,参数配置!$C$6*参数配置!$C$12))),"")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参数配置!$C$6*参数配置!$D$23,IF(F95&lt;=参数配置!$C$22,参数配置!$C$6*参数配置!$D$22,IF(F95&lt;=参数配置!$C$21,参数配置!$C$6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32" t="n"/>
      <c r="B96" s="15" t="n"/>
      <c r="C96" s="7">
        <f>IFERROR(参数配置!$C$6*B96,"")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IFERROR(IF(F96&gt;=参数配置!$C$18,0,MAX(0,MIN(C96-H96,参数配置!$C$6*参数配置!$C$12))),"")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参数配置!$C$6*参数配置!$D$23,IF(F96&lt;=参数配置!$C$22,参数配置!$C$6*参数配置!$D$22,IF(F96&lt;=参数配置!$C$21,参数配置!$C$6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32" t="n"/>
      <c r="B97" s="15" t="n"/>
      <c r="C97" s="7">
        <f>IFERROR(参数配置!$C$6*B97,"")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IFERROR(IF(F97&gt;=参数配置!$C$18,0,MAX(0,MIN(C97-H97,参数配置!$C$6*参数配置!$C$12))),"")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参数配置!$C$6*参数配置!$D$23,IF(F97&lt;=参数配置!$C$22,参数配置!$C$6*参数配置!$D$22,IF(F97&lt;=参数配置!$C$21,参数配置!$C$6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32" t="n"/>
      <c r="B98" s="15" t="n"/>
      <c r="C98" s="7">
        <f>IFERROR(参数配置!$C$6*B98,"")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IFERROR(IF(F98&gt;=参数配置!$C$18,0,MAX(0,MIN(C98-H98,参数配置!$C$6*参数配置!$C$12))),"")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参数配置!$C$6*参数配置!$D$23,IF(F98&lt;=参数配置!$C$22,参数配置!$C$6*参数配置!$D$22,IF(F98&lt;=参数配置!$C$21,参数配置!$C$6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32" t="n"/>
      <c r="B99" s="15" t="n"/>
      <c r="C99" s="7">
        <f>IFERROR(参数配置!$C$6*B99,"")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IFERROR(IF(F99&gt;=参数配置!$C$18,0,MAX(0,MIN(C99-H99,参数配置!$C$6*参数配置!$C$12))),"")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参数配置!$C$6*参数配置!$D$23,IF(F99&lt;=参数配置!$C$22,参数配置!$C$6*参数配置!$D$22,IF(F99&lt;=参数配置!$C$21,参数配置!$C$6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32" t="n"/>
      <c r="B100" s="15" t="n"/>
      <c r="C100" s="7">
        <f>IFERROR(参数配置!$C$6*B100,"")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IFERROR(IF(F100&gt;=参数配置!$C$18,0,MAX(0,MIN(C100-H100,参数配置!$C$6*参数配置!$C$12))),"")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参数配置!$C$6*参数配置!$D$23,IF(F100&lt;=参数配置!$C$22,参数配置!$C$6*参数配置!$D$22,IF(F100&lt;=参数配置!$C$21,参数配置!$C$6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32" t="n"/>
      <c r="B101" s="15" t="n"/>
      <c r="C101" s="7">
        <f>IFERROR(参数配置!$C$6*B101,"")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IFERROR(IF(F101&gt;=参数配置!$C$18,0,MAX(0,MIN(C101-H101,参数配置!$C$6*参数配置!$C$12))),"")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参数配置!$C$6*参数配置!$D$23,IF(F101&lt;=参数配置!$C$22,参数配置!$C$6*参数配置!$D$22,IF(F101&lt;=参数配置!$C$21,参数配置!$C$6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32" t="n"/>
      <c r="B102" s="15" t="n"/>
      <c r="C102" s="7">
        <f>IFERROR(参数配置!$C$6*B102,"")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IFERROR(IF(F102&gt;=参数配置!$C$18,0,MAX(0,MIN(C102-H102,参数配置!$C$6*参数配置!$C$12))),"")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参数配置!$C$6*参数配置!$D$23,IF(F102&lt;=参数配置!$C$22,参数配置!$C$6*参数配置!$D$22,IF(F102&lt;=参数配置!$C$21,参数配置!$C$6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32" t="n"/>
      <c r="B103" s="15" t="n"/>
      <c r="C103" s="7">
        <f>IFERROR(参数配置!$C$6*B103,"")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IFERROR(IF(F103&gt;=参数配置!$C$18,0,MAX(0,MIN(C103-H103,参数配置!$C$6*参数配置!$C$12))),"")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参数配置!$C$6*参数配置!$D$23,IF(F103&lt;=参数配置!$C$22,参数配置!$C$6*参数配置!$D$22,IF(F103&lt;=参数配置!$C$21,参数配置!$C$6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32" t="n"/>
      <c r="B104" s="15" t="n"/>
      <c r="C104" s="7">
        <f>IFERROR(参数配置!$C$6*B104,"")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IFERROR(IF(F104&gt;=参数配置!$C$18,0,MAX(0,MIN(C104-H104,参数配置!$C$6*参数配置!$C$12))),"")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参数配置!$C$6*参数配置!$D$23,IF(F104&lt;=参数配置!$C$22,参数配置!$C$6*参数配置!$D$22,IF(F104&lt;=参数配置!$C$21,参数配置!$C$6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2" t="inlineStr">
        <is>
          <t>2026-04-24</t>
        </is>
      </c>
      <c r="B5" s="15" t="n">
        <v>1</v>
      </c>
      <c r="C5" s="7">
        <f>IFERROR(参数配置!$C$7*B5,"")</f>
        <v/>
      </c>
      <c r="D5" s="26" t="n">
        <v>1.526</v>
      </c>
      <c r="E5" s="26" t="n">
        <v>1.5392</v>
      </c>
      <c r="F5" s="27">
        <f>IFERROR((D5-E5)/E5,"")</f>
        <v/>
      </c>
      <c r="G5" s="26" t="n">
        <v>0</v>
      </c>
      <c r="H5" s="7">
        <f>IFERROR(G5*D5,"")</f>
        <v/>
      </c>
      <c r="I5" s="7">
        <f>IFERROR(IF(F5&gt;=参数配置!$C$18,0,MAX(0,MIN(C5-H5,参数配置!$C$7*参数配置!$C$12))),"")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参数配置!$C$7*参数配置!$D$23,IF(F5&lt;=参数配置!$C$22,参数配置!$C$7*参数配置!$D$22,IF(F5&lt;=参数配置!$C$21,参数配置!$C$7*参数配置!$D$21,I5))))))),"")</f>
        <v/>
      </c>
      <c r="L5" s="17" t="n">
        <v>457.8</v>
      </c>
      <c r="M5" s="26" t="n">
        <v>300</v>
      </c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32" t="n"/>
      <c r="B6" s="15" t="n"/>
      <c r="C6" s="7">
        <f>IFERROR(参数配置!$C$7*B6,"")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IFERROR(IF(F6&gt;=参数配置!$C$18,0,MAX(0,MIN(C6-H6,参数配置!$C$7*参数配置!$C$12))),"")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参数配置!$C$7*参数配置!$D$23,IF(F6&lt;=参数配置!$C$22,参数配置!$C$7*参数配置!$D$22,IF(F6&lt;=参数配置!$C$21,参数配置!$C$7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32" t="n"/>
      <c r="B7" s="15" t="n"/>
      <c r="C7" s="7">
        <f>IFERROR(参数配置!$C$7*B7,"")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IFERROR(IF(F7&gt;=参数配置!$C$18,0,MAX(0,MIN(C7-H7,参数配置!$C$7*参数配置!$C$12))),"")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参数配置!$C$7*参数配置!$D$23,IF(F7&lt;=参数配置!$C$22,参数配置!$C$7*参数配置!$D$22,IF(F7&lt;=参数配置!$C$21,参数配置!$C$7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32" t="n"/>
      <c r="B8" s="15" t="n"/>
      <c r="C8" s="7">
        <f>IFERROR(参数配置!$C$7*B8,"")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IFERROR(IF(F8&gt;=参数配置!$C$18,0,MAX(0,MIN(C8-H8,参数配置!$C$7*参数配置!$C$12))),"")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参数配置!$C$7*参数配置!$D$23,IF(F8&lt;=参数配置!$C$22,参数配置!$C$7*参数配置!$D$22,IF(F8&lt;=参数配置!$C$21,参数配置!$C$7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32" t="n"/>
      <c r="B9" s="15" t="n"/>
      <c r="C9" s="7">
        <f>IFERROR(参数配置!$C$7*B9,"")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IFERROR(IF(F9&gt;=参数配置!$C$18,0,MAX(0,MIN(C9-H9,参数配置!$C$7*参数配置!$C$12))),"")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参数配置!$C$7*参数配置!$D$23,IF(F9&lt;=参数配置!$C$22,参数配置!$C$7*参数配置!$D$22,IF(F9&lt;=参数配置!$C$21,参数配置!$C$7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32" t="n"/>
      <c r="B10" s="15" t="n"/>
      <c r="C10" s="7">
        <f>IFERROR(参数配置!$C$7*B10,"")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IFERROR(IF(F10&gt;=参数配置!$C$18,0,MAX(0,MIN(C10-H10,参数配置!$C$7*参数配置!$C$12))),"")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参数配置!$C$7*参数配置!$D$23,IF(F10&lt;=参数配置!$C$22,参数配置!$C$7*参数配置!$D$22,IF(F10&lt;=参数配置!$C$21,参数配置!$C$7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32" t="n"/>
      <c r="B11" s="15" t="n"/>
      <c r="C11" s="7">
        <f>IFERROR(参数配置!$C$7*B11,"")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IFERROR(IF(F11&gt;=参数配置!$C$18,0,MAX(0,MIN(C11-H11,参数配置!$C$7*参数配置!$C$12))),"")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参数配置!$C$7*参数配置!$D$23,IF(F11&lt;=参数配置!$C$22,参数配置!$C$7*参数配置!$D$22,IF(F11&lt;=参数配置!$C$21,参数配置!$C$7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32" t="n"/>
      <c r="B12" s="15" t="n"/>
      <c r="C12" s="7">
        <f>IFERROR(参数配置!$C$7*B12,"")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IFERROR(IF(F12&gt;=参数配置!$C$18,0,MAX(0,MIN(C12-H12,参数配置!$C$7*参数配置!$C$12))),"")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参数配置!$C$7*参数配置!$D$23,IF(F12&lt;=参数配置!$C$22,参数配置!$C$7*参数配置!$D$22,IF(F12&lt;=参数配置!$C$21,参数配置!$C$7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32" t="n"/>
      <c r="B13" s="15" t="n"/>
      <c r="C13" s="7">
        <f>IFERROR(参数配置!$C$7*B13,"")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IFERROR(IF(F13&gt;=参数配置!$C$18,0,MAX(0,MIN(C13-H13,参数配置!$C$7*参数配置!$C$12))),"")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参数配置!$C$7*参数配置!$D$23,IF(F13&lt;=参数配置!$C$22,参数配置!$C$7*参数配置!$D$22,IF(F13&lt;=参数配置!$C$21,参数配置!$C$7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32" t="n"/>
      <c r="B14" s="15" t="n"/>
      <c r="C14" s="7">
        <f>IFERROR(参数配置!$C$7*B14,"")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IFERROR(IF(F14&gt;=参数配置!$C$18,0,MAX(0,MIN(C14-H14,参数配置!$C$7*参数配置!$C$12))),"")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参数配置!$C$7*参数配置!$D$23,IF(F14&lt;=参数配置!$C$22,参数配置!$C$7*参数配置!$D$22,IF(F14&lt;=参数配置!$C$21,参数配置!$C$7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32" t="n"/>
      <c r="B15" s="15" t="n"/>
      <c r="C15" s="7">
        <f>IFERROR(参数配置!$C$7*B15,"")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IFERROR(IF(F15&gt;=参数配置!$C$18,0,MAX(0,MIN(C15-H15,参数配置!$C$7*参数配置!$C$12))),"")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参数配置!$C$7*参数配置!$D$23,IF(F15&lt;=参数配置!$C$22,参数配置!$C$7*参数配置!$D$22,IF(F15&lt;=参数配置!$C$21,参数配置!$C$7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32" t="n"/>
      <c r="B16" s="15" t="n"/>
      <c r="C16" s="7">
        <f>IFERROR(参数配置!$C$7*B16,"")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IFERROR(IF(F16&gt;=参数配置!$C$18,0,MAX(0,MIN(C16-H16,参数配置!$C$7*参数配置!$C$12))),"")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参数配置!$C$7*参数配置!$D$23,IF(F16&lt;=参数配置!$C$22,参数配置!$C$7*参数配置!$D$22,IF(F16&lt;=参数配置!$C$21,参数配置!$C$7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32" t="n"/>
      <c r="B17" s="15" t="n"/>
      <c r="C17" s="7">
        <f>IFERROR(参数配置!$C$7*B17,"")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IFERROR(IF(F17&gt;=参数配置!$C$18,0,MAX(0,MIN(C17-H17,参数配置!$C$7*参数配置!$C$12))),"")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参数配置!$C$7*参数配置!$D$23,IF(F17&lt;=参数配置!$C$22,参数配置!$C$7*参数配置!$D$22,IF(F17&lt;=参数配置!$C$21,参数配置!$C$7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32" t="n"/>
      <c r="B18" s="15" t="n"/>
      <c r="C18" s="7">
        <f>IFERROR(参数配置!$C$7*B18,"")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IFERROR(IF(F18&gt;=参数配置!$C$18,0,MAX(0,MIN(C18-H18,参数配置!$C$7*参数配置!$C$12))),"")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参数配置!$C$7*参数配置!$D$23,IF(F18&lt;=参数配置!$C$22,参数配置!$C$7*参数配置!$D$22,IF(F18&lt;=参数配置!$C$21,参数配置!$C$7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32" t="n"/>
      <c r="B19" s="15" t="n"/>
      <c r="C19" s="7">
        <f>IFERROR(参数配置!$C$7*B19,"")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IFERROR(IF(F19&gt;=参数配置!$C$18,0,MAX(0,MIN(C19-H19,参数配置!$C$7*参数配置!$C$12))),"")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参数配置!$C$7*参数配置!$D$23,IF(F19&lt;=参数配置!$C$22,参数配置!$C$7*参数配置!$D$22,IF(F19&lt;=参数配置!$C$21,参数配置!$C$7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32" t="n"/>
      <c r="B20" s="15" t="n"/>
      <c r="C20" s="7">
        <f>IFERROR(参数配置!$C$7*B20,"")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IFERROR(IF(F20&gt;=参数配置!$C$18,0,MAX(0,MIN(C20-H20,参数配置!$C$7*参数配置!$C$12))),"")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参数配置!$C$7*参数配置!$D$23,IF(F20&lt;=参数配置!$C$22,参数配置!$C$7*参数配置!$D$22,IF(F20&lt;=参数配置!$C$21,参数配置!$C$7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32" t="n"/>
      <c r="B21" s="15" t="n"/>
      <c r="C21" s="7">
        <f>IFERROR(参数配置!$C$7*B21,"")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IFERROR(IF(F21&gt;=参数配置!$C$18,0,MAX(0,MIN(C21-H21,参数配置!$C$7*参数配置!$C$12))),"")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参数配置!$C$7*参数配置!$D$23,IF(F21&lt;=参数配置!$C$22,参数配置!$C$7*参数配置!$D$22,IF(F21&lt;=参数配置!$C$21,参数配置!$C$7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32" t="n"/>
      <c r="B22" s="15" t="n"/>
      <c r="C22" s="7">
        <f>IFERROR(参数配置!$C$7*B22,"")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IFERROR(IF(F22&gt;=参数配置!$C$18,0,MAX(0,MIN(C22-H22,参数配置!$C$7*参数配置!$C$12))),"")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参数配置!$C$7*参数配置!$D$23,IF(F22&lt;=参数配置!$C$22,参数配置!$C$7*参数配置!$D$22,IF(F22&lt;=参数配置!$C$21,参数配置!$C$7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32" t="n"/>
      <c r="B23" s="15" t="n"/>
      <c r="C23" s="7">
        <f>IFERROR(参数配置!$C$7*B23,"")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IFERROR(IF(F23&gt;=参数配置!$C$18,0,MAX(0,MIN(C23-H23,参数配置!$C$7*参数配置!$C$12))),"")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参数配置!$C$7*参数配置!$D$23,IF(F23&lt;=参数配置!$C$22,参数配置!$C$7*参数配置!$D$22,IF(F23&lt;=参数配置!$C$21,参数配置!$C$7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32" t="n"/>
      <c r="B24" s="15" t="n"/>
      <c r="C24" s="7">
        <f>IFERROR(参数配置!$C$7*B24,"")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IFERROR(IF(F24&gt;=参数配置!$C$18,0,MAX(0,MIN(C24-H24,参数配置!$C$7*参数配置!$C$12))),"")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参数配置!$C$7*参数配置!$D$23,IF(F24&lt;=参数配置!$C$22,参数配置!$C$7*参数配置!$D$22,IF(F24&lt;=参数配置!$C$21,参数配置!$C$7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32" t="n"/>
      <c r="B25" s="15" t="n"/>
      <c r="C25" s="7">
        <f>IFERROR(参数配置!$C$7*B25,"")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IFERROR(IF(F25&gt;=参数配置!$C$18,0,MAX(0,MIN(C25-H25,参数配置!$C$7*参数配置!$C$12))),"")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参数配置!$C$7*参数配置!$D$23,IF(F25&lt;=参数配置!$C$22,参数配置!$C$7*参数配置!$D$22,IF(F25&lt;=参数配置!$C$21,参数配置!$C$7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32" t="n"/>
      <c r="B26" s="15" t="n"/>
      <c r="C26" s="7">
        <f>IFERROR(参数配置!$C$7*B26,"")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IFERROR(IF(F26&gt;=参数配置!$C$18,0,MAX(0,MIN(C26-H26,参数配置!$C$7*参数配置!$C$12))),"")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参数配置!$C$7*参数配置!$D$23,IF(F26&lt;=参数配置!$C$22,参数配置!$C$7*参数配置!$D$22,IF(F26&lt;=参数配置!$C$21,参数配置!$C$7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32" t="n"/>
      <c r="B27" s="15" t="n"/>
      <c r="C27" s="7">
        <f>IFERROR(参数配置!$C$7*B27,"")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IFERROR(IF(F27&gt;=参数配置!$C$18,0,MAX(0,MIN(C27-H27,参数配置!$C$7*参数配置!$C$12))),"")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参数配置!$C$7*参数配置!$D$23,IF(F27&lt;=参数配置!$C$22,参数配置!$C$7*参数配置!$D$22,IF(F27&lt;=参数配置!$C$21,参数配置!$C$7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32" t="n"/>
      <c r="B28" s="15" t="n"/>
      <c r="C28" s="7">
        <f>IFERROR(参数配置!$C$7*B28,"")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IFERROR(IF(F28&gt;=参数配置!$C$18,0,MAX(0,MIN(C28-H28,参数配置!$C$7*参数配置!$C$12))),"")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参数配置!$C$7*参数配置!$D$23,IF(F28&lt;=参数配置!$C$22,参数配置!$C$7*参数配置!$D$22,IF(F28&lt;=参数配置!$C$21,参数配置!$C$7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32" t="n"/>
      <c r="B29" s="15" t="n"/>
      <c r="C29" s="7">
        <f>IFERROR(参数配置!$C$7*B29,"")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IFERROR(IF(F29&gt;=参数配置!$C$18,0,MAX(0,MIN(C29-H29,参数配置!$C$7*参数配置!$C$12))),"")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参数配置!$C$7*参数配置!$D$23,IF(F29&lt;=参数配置!$C$22,参数配置!$C$7*参数配置!$D$22,IF(F29&lt;=参数配置!$C$21,参数配置!$C$7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32" t="n"/>
      <c r="B30" s="15" t="n"/>
      <c r="C30" s="7">
        <f>IFERROR(参数配置!$C$7*B30,"")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IFERROR(IF(F30&gt;=参数配置!$C$18,0,MAX(0,MIN(C30-H30,参数配置!$C$7*参数配置!$C$12))),"")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参数配置!$C$7*参数配置!$D$23,IF(F30&lt;=参数配置!$C$22,参数配置!$C$7*参数配置!$D$22,IF(F30&lt;=参数配置!$C$21,参数配置!$C$7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32" t="n"/>
      <c r="B31" s="15" t="n"/>
      <c r="C31" s="7">
        <f>IFERROR(参数配置!$C$7*B31,"")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IFERROR(IF(F31&gt;=参数配置!$C$18,0,MAX(0,MIN(C31-H31,参数配置!$C$7*参数配置!$C$12))),"")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参数配置!$C$7*参数配置!$D$23,IF(F31&lt;=参数配置!$C$22,参数配置!$C$7*参数配置!$D$22,IF(F31&lt;=参数配置!$C$21,参数配置!$C$7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32" t="n"/>
      <c r="B32" s="15" t="n"/>
      <c r="C32" s="7">
        <f>IFERROR(参数配置!$C$7*B32,"")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IFERROR(IF(F32&gt;=参数配置!$C$18,0,MAX(0,MIN(C32-H32,参数配置!$C$7*参数配置!$C$12))),"")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参数配置!$C$7*参数配置!$D$23,IF(F32&lt;=参数配置!$C$22,参数配置!$C$7*参数配置!$D$22,IF(F32&lt;=参数配置!$C$21,参数配置!$C$7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32" t="n"/>
      <c r="B33" s="15" t="n"/>
      <c r="C33" s="7">
        <f>IFERROR(参数配置!$C$7*B33,"")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IFERROR(IF(F33&gt;=参数配置!$C$18,0,MAX(0,MIN(C33-H33,参数配置!$C$7*参数配置!$C$12))),"")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参数配置!$C$7*参数配置!$D$23,IF(F33&lt;=参数配置!$C$22,参数配置!$C$7*参数配置!$D$22,IF(F33&lt;=参数配置!$C$21,参数配置!$C$7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32" t="n"/>
      <c r="B34" s="15" t="n"/>
      <c r="C34" s="7">
        <f>IFERROR(参数配置!$C$7*B34,"")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IFERROR(IF(F34&gt;=参数配置!$C$18,0,MAX(0,MIN(C34-H34,参数配置!$C$7*参数配置!$C$12))),"")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参数配置!$C$7*参数配置!$D$23,IF(F34&lt;=参数配置!$C$22,参数配置!$C$7*参数配置!$D$22,IF(F34&lt;=参数配置!$C$21,参数配置!$C$7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32" t="n"/>
      <c r="B35" s="15" t="n"/>
      <c r="C35" s="7">
        <f>IFERROR(参数配置!$C$7*B35,"")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IFERROR(IF(F35&gt;=参数配置!$C$18,0,MAX(0,MIN(C35-H35,参数配置!$C$7*参数配置!$C$12))),"")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参数配置!$C$7*参数配置!$D$23,IF(F35&lt;=参数配置!$C$22,参数配置!$C$7*参数配置!$D$22,IF(F35&lt;=参数配置!$C$21,参数配置!$C$7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32" t="n"/>
      <c r="B36" s="15" t="n"/>
      <c r="C36" s="7">
        <f>IFERROR(参数配置!$C$7*B36,"")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IFERROR(IF(F36&gt;=参数配置!$C$18,0,MAX(0,MIN(C36-H36,参数配置!$C$7*参数配置!$C$12))),"")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参数配置!$C$7*参数配置!$D$23,IF(F36&lt;=参数配置!$C$22,参数配置!$C$7*参数配置!$D$22,IF(F36&lt;=参数配置!$C$21,参数配置!$C$7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32" t="n"/>
      <c r="B37" s="15" t="n"/>
      <c r="C37" s="7">
        <f>IFERROR(参数配置!$C$7*B37,"")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IFERROR(IF(F37&gt;=参数配置!$C$18,0,MAX(0,MIN(C37-H37,参数配置!$C$7*参数配置!$C$12))),"")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参数配置!$C$7*参数配置!$D$23,IF(F37&lt;=参数配置!$C$22,参数配置!$C$7*参数配置!$D$22,IF(F37&lt;=参数配置!$C$21,参数配置!$C$7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32" t="n"/>
      <c r="B38" s="15" t="n"/>
      <c r="C38" s="7">
        <f>IFERROR(参数配置!$C$7*B38,"")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IFERROR(IF(F38&gt;=参数配置!$C$18,0,MAX(0,MIN(C38-H38,参数配置!$C$7*参数配置!$C$12))),"")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参数配置!$C$7*参数配置!$D$23,IF(F38&lt;=参数配置!$C$22,参数配置!$C$7*参数配置!$D$22,IF(F38&lt;=参数配置!$C$21,参数配置!$C$7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32" t="n"/>
      <c r="B39" s="15" t="n"/>
      <c r="C39" s="7">
        <f>IFERROR(参数配置!$C$7*B39,"")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IFERROR(IF(F39&gt;=参数配置!$C$18,0,MAX(0,MIN(C39-H39,参数配置!$C$7*参数配置!$C$12))),"")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参数配置!$C$7*参数配置!$D$23,IF(F39&lt;=参数配置!$C$22,参数配置!$C$7*参数配置!$D$22,IF(F39&lt;=参数配置!$C$21,参数配置!$C$7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32" t="n"/>
      <c r="B40" s="15" t="n"/>
      <c r="C40" s="7">
        <f>IFERROR(参数配置!$C$7*B40,"")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IFERROR(IF(F40&gt;=参数配置!$C$18,0,MAX(0,MIN(C40-H40,参数配置!$C$7*参数配置!$C$12))),"")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参数配置!$C$7*参数配置!$D$23,IF(F40&lt;=参数配置!$C$22,参数配置!$C$7*参数配置!$D$22,IF(F40&lt;=参数配置!$C$21,参数配置!$C$7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32" t="n"/>
      <c r="B41" s="15" t="n"/>
      <c r="C41" s="7">
        <f>IFERROR(参数配置!$C$7*B41,"")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IFERROR(IF(F41&gt;=参数配置!$C$18,0,MAX(0,MIN(C41-H41,参数配置!$C$7*参数配置!$C$12))),"")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参数配置!$C$7*参数配置!$D$23,IF(F41&lt;=参数配置!$C$22,参数配置!$C$7*参数配置!$D$22,IF(F41&lt;=参数配置!$C$21,参数配置!$C$7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32" t="n"/>
      <c r="B42" s="15" t="n"/>
      <c r="C42" s="7">
        <f>IFERROR(参数配置!$C$7*B42,"")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IFERROR(IF(F42&gt;=参数配置!$C$18,0,MAX(0,MIN(C42-H42,参数配置!$C$7*参数配置!$C$12))),"")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参数配置!$C$7*参数配置!$D$23,IF(F42&lt;=参数配置!$C$22,参数配置!$C$7*参数配置!$D$22,IF(F42&lt;=参数配置!$C$21,参数配置!$C$7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32" t="n"/>
      <c r="B43" s="15" t="n"/>
      <c r="C43" s="7">
        <f>IFERROR(参数配置!$C$7*B43,"")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IFERROR(IF(F43&gt;=参数配置!$C$18,0,MAX(0,MIN(C43-H43,参数配置!$C$7*参数配置!$C$12))),"")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参数配置!$C$7*参数配置!$D$23,IF(F43&lt;=参数配置!$C$22,参数配置!$C$7*参数配置!$D$22,IF(F43&lt;=参数配置!$C$21,参数配置!$C$7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32" t="n"/>
      <c r="B44" s="15" t="n"/>
      <c r="C44" s="7">
        <f>IFERROR(参数配置!$C$7*B44,"")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IFERROR(IF(F44&gt;=参数配置!$C$18,0,MAX(0,MIN(C44-H44,参数配置!$C$7*参数配置!$C$12))),"")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参数配置!$C$7*参数配置!$D$23,IF(F44&lt;=参数配置!$C$22,参数配置!$C$7*参数配置!$D$22,IF(F44&lt;=参数配置!$C$21,参数配置!$C$7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32" t="n"/>
      <c r="B45" s="15" t="n"/>
      <c r="C45" s="7">
        <f>IFERROR(参数配置!$C$7*B45,"")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IFERROR(IF(F45&gt;=参数配置!$C$18,0,MAX(0,MIN(C45-H45,参数配置!$C$7*参数配置!$C$12))),"")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参数配置!$C$7*参数配置!$D$23,IF(F45&lt;=参数配置!$C$22,参数配置!$C$7*参数配置!$D$22,IF(F45&lt;=参数配置!$C$21,参数配置!$C$7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32" t="n"/>
      <c r="B46" s="15" t="n"/>
      <c r="C46" s="7">
        <f>IFERROR(参数配置!$C$7*B46,"")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IFERROR(IF(F46&gt;=参数配置!$C$18,0,MAX(0,MIN(C46-H46,参数配置!$C$7*参数配置!$C$12))),"")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参数配置!$C$7*参数配置!$D$23,IF(F46&lt;=参数配置!$C$22,参数配置!$C$7*参数配置!$D$22,IF(F46&lt;=参数配置!$C$21,参数配置!$C$7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32" t="n"/>
      <c r="B47" s="15" t="n"/>
      <c r="C47" s="7">
        <f>IFERROR(参数配置!$C$7*B47,"")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IFERROR(IF(F47&gt;=参数配置!$C$18,0,MAX(0,MIN(C47-H47,参数配置!$C$7*参数配置!$C$12))),"")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参数配置!$C$7*参数配置!$D$23,IF(F47&lt;=参数配置!$C$22,参数配置!$C$7*参数配置!$D$22,IF(F47&lt;=参数配置!$C$21,参数配置!$C$7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32" t="n"/>
      <c r="B48" s="15" t="n"/>
      <c r="C48" s="7">
        <f>IFERROR(参数配置!$C$7*B48,"")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IFERROR(IF(F48&gt;=参数配置!$C$18,0,MAX(0,MIN(C48-H48,参数配置!$C$7*参数配置!$C$12))),"")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参数配置!$C$7*参数配置!$D$23,IF(F48&lt;=参数配置!$C$22,参数配置!$C$7*参数配置!$D$22,IF(F48&lt;=参数配置!$C$21,参数配置!$C$7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32" t="n"/>
      <c r="B49" s="15" t="n"/>
      <c r="C49" s="7">
        <f>IFERROR(参数配置!$C$7*B49,"")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IFERROR(IF(F49&gt;=参数配置!$C$18,0,MAX(0,MIN(C49-H49,参数配置!$C$7*参数配置!$C$12))),"")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参数配置!$C$7*参数配置!$D$23,IF(F49&lt;=参数配置!$C$22,参数配置!$C$7*参数配置!$D$22,IF(F49&lt;=参数配置!$C$21,参数配置!$C$7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32" t="n"/>
      <c r="B50" s="15" t="n"/>
      <c r="C50" s="7">
        <f>IFERROR(参数配置!$C$7*B50,"")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IFERROR(IF(F50&gt;=参数配置!$C$18,0,MAX(0,MIN(C50-H50,参数配置!$C$7*参数配置!$C$12))),"")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参数配置!$C$7*参数配置!$D$23,IF(F50&lt;=参数配置!$C$22,参数配置!$C$7*参数配置!$D$22,IF(F50&lt;=参数配置!$C$21,参数配置!$C$7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32" t="n"/>
      <c r="B51" s="15" t="n"/>
      <c r="C51" s="7">
        <f>IFERROR(参数配置!$C$7*B51,"")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IFERROR(IF(F51&gt;=参数配置!$C$18,0,MAX(0,MIN(C51-H51,参数配置!$C$7*参数配置!$C$12))),"")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参数配置!$C$7*参数配置!$D$23,IF(F51&lt;=参数配置!$C$22,参数配置!$C$7*参数配置!$D$22,IF(F51&lt;=参数配置!$C$21,参数配置!$C$7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32" t="n"/>
      <c r="B52" s="15" t="n"/>
      <c r="C52" s="7">
        <f>IFERROR(参数配置!$C$7*B52,"")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IFERROR(IF(F52&gt;=参数配置!$C$18,0,MAX(0,MIN(C52-H52,参数配置!$C$7*参数配置!$C$12))),"")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参数配置!$C$7*参数配置!$D$23,IF(F52&lt;=参数配置!$C$22,参数配置!$C$7*参数配置!$D$22,IF(F52&lt;=参数配置!$C$21,参数配置!$C$7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32" t="n"/>
      <c r="B53" s="15" t="n"/>
      <c r="C53" s="7">
        <f>IFERROR(参数配置!$C$7*B53,"")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IFERROR(IF(F53&gt;=参数配置!$C$18,0,MAX(0,MIN(C53-H53,参数配置!$C$7*参数配置!$C$12))),"")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参数配置!$C$7*参数配置!$D$23,IF(F53&lt;=参数配置!$C$22,参数配置!$C$7*参数配置!$D$22,IF(F53&lt;=参数配置!$C$21,参数配置!$C$7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32" t="n"/>
      <c r="B54" s="15" t="n"/>
      <c r="C54" s="7">
        <f>IFERROR(参数配置!$C$7*B54,"")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IFERROR(IF(F54&gt;=参数配置!$C$18,0,MAX(0,MIN(C54-H54,参数配置!$C$7*参数配置!$C$12))),"")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参数配置!$C$7*参数配置!$D$23,IF(F54&lt;=参数配置!$C$22,参数配置!$C$7*参数配置!$D$22,IF(F54&lt;=参数配置!$C$21,参数配置!$C$7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32" t="n"/>
      <c r="B55" s="15" t="n"/>
      <c r="C55" s="7">
        <f>IFERROR(参数配置!$C$7*B55,"")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IFERROR(IF(F55&gt;=参数配置!$C$18,0,MAX(0,MIN(C55-H55,参数配置!$C$7*参数配置!$C$12))),"")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参数配置!$C$7*参数配置!$D$23,IF(F55&lt;=参数配置!$C$22,参数配置!$C$7*参数配置!$D$22,IF(F55&lt;=参数配置!$C$21,参数配置!$C$7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32" t="n"/>
      <c r="B56" s="15" t="n"/>
      <c r="C56" s="7">
        <f>IFERROR(参数配置!$C$7*B56,"")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IFERROR(IF(F56&gt;=参数配置!$C$18,0,MAX(0,MIN(C56-H56,参数配置!$C$7*参数配置!$C$12))),"")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参数配置!$C$7*参数配置!$D$23,IF(F56&lt;=参数配置!$C$22,参数配置!$C$7*参数配置!$D$22,IF(F56&lt;=参数配置!$C$21,参数配置!$C$7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32" t="n"/>
      <c r="B57" s="15" t="n"/>
      <c r="C57" s="7">
        <f>IFERROR(参数配置!$C$7*B57,"")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IFERROR(IF(F57&gt;=参数配置!$C$18,0,MAX(0,MIN(C57-H57,参数配置!$C$7*参数配置!$C$12))),"")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参数配置!$C$7*参数配置!$D$23,IF(F57&lt;=参数配置!$C$22,参数配置!$C$7*参数配置!$D$22,IF(F57&lt;=参数配置!$C$21,参数配置!$C$7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32" t="n"/>
      <c r="B58" s="15" t="n"/>
      <c r="C58" s="7">
        <f>IFERROR(参数配置!$C$7*B58,"")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IFERROR(IF(F58&gt;=参数配置!$C$18,0,MAX(0,MIN(C58-H58,参数配置!$C$7*参数配置!$C$12))),"")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参数配置!$C$7*参数配置!$D$23,IF(F58&lt;=参数配置!$C$22,参数配置!$C$7*参数配置!$D$22,IF(F58&lt;=参数配置!$C$21,参数配置!$C$7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32" t="n"/>
      <c r="B59" s="15" t="n"/>
      <c r="C59" s="7">
        <f>IFERROR(参数配置!$C$7*B59,"")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IFERROR(IF(F59&gt;=参数配置!$C$18,0,MAX(0,MIN(C59-H59,参数配置!$C$7*参数配置!$C$12))),"")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参数配置!$C$7*参数配置!$D$23,IF(F59&lt;=参数配置!$C$22,参数配置!$C$7*参数配置!$D$22,IF(F59&lt;=参数配置!$C$21,参数配置!$C$7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32" t="n"/>
      <c r="B60" s="15" t="n"/>
      <c r="C60" s="7">
        <f>IFERROR(参数配置!$C$7*B60,"")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IFERROR(IF(F60&gt;=参数配置!$C$18,0,MAX(0,MIN(C60-H60,参数配置!$C$7*参数配置!$C$12))),"")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参数配置!$C$7*参数配置!$D$23,IF(F60&lt;=参数配置!$C$22,参数配置!$C$7*参数配置!$D$22,IF(F60&lt;=参数配置!$C$21,参数配置!$C$7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32" t="n"/>
      <c r="B61" s="15" t="n"/>
      <c r="C61" s="7">
        <f>IFERROR(参数配置!$C$7*B61,"")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IFERROR(IF(F61&gt;=参数配置!$C$18,0,MAX(0,MIN(C61-H61,参数配置!$C$7*参数配置!$C$12))),"")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参数配置!$C$7*参数配置!$D$23,IF(F61&lt;=参数配置!$C$22,参数配置!$C$7*参数配置!$D$22,IF(F61&lt;=参数配置!$C$21,参数配置!$C$7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32" t="n"/>
      <c r="B62" s="15" t="n"/>
      <c r="C62" s="7">
        <f>IFERROR(参数配置!$C$7*B62,"")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IFERROR(IF(F62&gt;=参数配置!$C$18,0,MAX(0,MIN(C62-H62,参数配置!$C$7*参数配置!$C$12))),"")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参数配置!$C$7*参数配置!$D$23,IF(F62&lt;=参数配置!$C$22,参数配置!$C$7*参数配置!$D$22,IF(F62&lt;=参数配置!$C$21,参数配置!$C$7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32" t="n"/>
      <c r="B63" s="15" t="n"/>
      <c r="C63" s="7">
        <f>IFERROR(参数配置!$C$7*B63,"")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IFERROR(IF(F63&gt;=参数配置!$C$18,0,MAX(0,MIN(C63-H63,参数配置!$C$7*参数配置!$C$12))),"")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参数配置!$C$7*参数配置!$D$23,IF(F63&lt;=参数配置!$C$22,参数配置!$C$7*参数配置!$D$22,IF(F63&lt;=参数配置!$C$21,参数配置!$C$7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32" t="n"/>
      <c r="B64" s="15" t="n"/>
      <c r="C64" s="7">
        <f>IFERROR(参数配置!$C$7*B64,"")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IFERROR(IF(F64&gt;=参数配置!$C$18,0,MAX(0,MIN(C64-H64,参数配置!$C$7*参数配置!$C$12))),"")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参数配置!$C$7*参数配置!$D$23,IF(F64&lt;=参数配置!$C$22,参数配置!$C$7*参数配置!$D$22,IF(F64&lt;=参数配置!$C$21,参数配置!$C$7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32" t="n"/>
      <c r="B65" s="15" t="n"/>
      <c r="C65" s="7">
        <f>IFERROR(参数配置!$C$7*B65,"")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IFERROR(IF(F65&gt;=参数配置!$C$18,0,MAX(0,MIN(C65-H65,参数配置!$C$7*参数配置!$C$12))),"")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参数配置!$C$7*参数配置!$D$23,IF(F65&lt;=参数配置!$C$22,参数配置!$C$7*参数配置!$D$22,IF(F65&lt;=参数配置!$C$21,参数配置!$C$7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32" t="n"/>
      <c r="B66" s="15" t="n"/>
      <c r="C66" s="7">
        <f>IFERROR(参数配置!$C$7*B66,"")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IFERROR(IF(F66&gt;=参数配置!$C$18,0,MAX(0,MIN(C66-H66,参数配置!$C$7*参数配置!$C$12))),"")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参数配置!$C$7*参数配置!$D$23,IF(F66&lt;=参数配置!$C$22,参数配置!$C$7*参数配置!$D$22,IF(F66&lt;=参数配置!$C$21,参数配置!$C$7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32" t="n"/>
      <c r="B67" s="15" t="n"/>
      <c r="C67" s="7">
        <f>IFERROR(参数配置!$C$7*B67,"")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IFERROR(IF(F67&gt;=参数配置!$C$18,0,MAX(0,MIN(C67-H67,参数配置!$C$7*参数配置!$C$12))),"")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参数配置!$C$7*参数配置!$D$23,IF(F67&lt;=参数配置!$C$22,参数配置!$C$7*参数配置!$D$22,IF(F67&lt;=参数配置!$C$21,参数配置!$C$7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32" t="n"/>
      <c r="B68" s="15" t="n"/>
      <c r="C68" s="7">
        <f>IFERROR(参数配置!$C$7*B68,"")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IFERROR(IF(F68&gt;=参数配置!$C$18,0,MAX(0,MIN(C68-H68,参数配置!$C$7*参数配置!$C$12))),"")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参数配置!$C$7*参数配置!$D$23,IF(F68&lt;=参数配置!$C$22,参数配置!$C$7*参数配置!$D$22,IF(F68&lt;=参数配置!$C$21,参数配置!$C$7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32" t="n"/>
      <c r="B69" s="15" t="n"/>
      <c r="C69" s="7">
        <f>IFERROR(参数配置!$C$7*B69,"")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IFERROR(IF(F69&gt;=参数配置!$C$18,0,MAX(0,MIN(C69-H69,参数配置!$C$7*参数配置!$C$12))),"")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参数配置!$C$7*参数配置!$D$23,IF(F69&lt;=参数配置!$C$22,参数配置!$C$7*参数配置!$D$22,IF(F69&lt;=参数配置!$C$21,参数配置!$C$7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32" t="n"/>
      <c r="B70" s="15" t="n"/>
      <c r="C70" s="7">
        <f>IFERROR(参数配置!$C$7*B70,"")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IFERROR(IF(F70&gt;=参数配置!$C$18,0,MAX(0,MIN(C70-H70,参数配置!$C$7*参数配置!$C$12))),"")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参数配置!$C$7*参数配置!$D$23,IF(F70&lt;=参数配置!$C$22,参数配置!$C$7*参数配置!$D$22,IF(F70&lt;=参数配置!$C$21,参数配置!$C$7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32" t="n"/>
      <c r="B71" s="15" t="n"/>
      <c r="C71" s="7">
        <f>IFERROR(参数配置!$C$7*B71,"")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IFERROR(IF(F71&gt;=参数配置!$C$18,0,MAX(0,MIN(C71-H71,参数配置!$C$7*参数配置!$C$12))),"")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参数配置!$C$7*参数配置!$D$23,IF(F71&lt;=参数配置!$C$22,参数配置!$C$7*参数配置!$D$22,IF(F71&lt;=参数配置!$C$21,参数配置!$C$7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32" t="n"/>
      <c r="B72" s="15" t="n"/>
      <c r="C72" s="7">
        <f>IFERROR(参数配置!$C$7*B72,"")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IFERROR(IF(F72&gt;=参数配置!$C$18,0,MAX(0,MIN(C72-H72,参数配置!$C$7*参数配置!$C$12))),"")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参数配置!$C$7*参数配置!$D$23,IF(F72&lt;=参数配置!$C$22,参数配置!$C$7*参数配置!$D$22,IF(F72&lt;=参数配置!$C$21,参数配置!$C$7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32" t="n"/>
      <c r="B73" s="15" t="n"/>
      <c r="C73" s="7">
        <f>IFERROR(参数配置!$C$7*B73,"")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IFERROR(IF(F73&gt;=参数配置!$C$18,0,MAX(0,MIN(C73-H73,参数配置!$C$7*参数配置!$C$12))),"")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参数配置!$C$7*参数配置!$D$23,IF(F73&lt;=参数配置!$C$22,参数配置!$C$7*参数配置!$D$22,IF(F73&lt;=参数配置!$C$21,参数配置!$C$7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32" t="n"/>
      <c r="B74" s="15" t="n"/>
      <c r="C74" s="7">
        <f>IFERROR(参数配置!$C$7*B74,"")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IFERROR(IF(F74&gt;=参数配置!$C$18,0,MAX(0,MIN(C74-H74,参数配置!$C$7*参数配置!$C$12))),"")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参数配置!$C$7*参数配置!$D$23,IF(F74&lt;=参数配置!$C$22,参数配置!$C$7*参数配置!$D$22,IF(F74&lt;=参数配置!$C$21,参数配置!$C$7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32" t="n"/>
      <c r="B75" s="15" t="n"/>
      <c r="C75" s="7">
        <f>IFERROR(参数配置!$C$7*B75,"")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IFERROR(IF(F75&gt;=参数配置!$C$18,0,MAX(0,MIN(C75-H75,参数配置!$C$7*参数配置!$C$12))),"")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参数配置!$C$7*参数配置!$D$23,IF(F75&lt;=参数配置!$C$22,参数配置!$C$7*参数配置!$D$22,IF(F75&lt;=参数配置!$C$21,参数配置!$C$7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32" t="n"/>
      <c r="B76" s="15" t="n"/>
      <c r="C76" s="7">
        <f>IFERROR(参数配置!$C$7*B76,"")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IFERROR(IF(F76&gt;=参数配置!$C$18,0,MAX(0,MIN(C76-H76,参数配置!$C$7*参数配置!$C$12))),"")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参数配置!$C$7*参数配置!$D$23,IF(F76&lt;=参数配置!$C$22,参数配置!$C$7*参数配置!$D$22,IF(F76&lt;=参数配置!$C$21,参数配置!$C$7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32" t="n"/>
      <c r="B77" s="15" t="n"/>
      <c r="C77" s="7">
        <f>IFERROR(参数配置!$C$7*B77,"")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IFERROR(IF(F77&gt;=参数配置!$C$18,0,MAX(0,MIN(C77-H77,参数配置!$C$7*参数配置!$C$12))),"")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参数配置!$C$7*参数配置!$D$23,IF(F77&lt;=参数配置!$C$22,参数配置!$C$7*参数配置!$D$22,IF(F77&lt;=参数配置!$C$21,参数配置!$C$7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32" t="n"/>
      <c r="B78" s="15" t="n"/>
      <c r="C78" s="7">
        <f>IFERROR(参数配置!$C$7*B78,"")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IFERROR(IF(F78&gt;=参数配置!$C$18,0,MAX(0,MIN(C78-H78,参数配置!$C$7*参数配置!$C$12))),"")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参数配置!$C$7*参数配置!$D$23,IF(F78&lt;=参数配置!$C$22,参数配置!$C$7*参数配置!$D$22,IF(F78&lt;=参数配置!$C$21,参数配置!$C$7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32" t="n"/>
      <c r="B79" s="15" t="n"/>
      <c r="C79" s="7">
        <f>IFERROR(参数配置!$C$7*B79,"")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IFERROR(IF(F79&gt;=参数配置!$C$18,0,MAX(0,MIN(C79-H79,参数配置!$C$7*参数配置!$C$12))),"")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参数配置!$C$7*参数配置!$D$23,IF(F79&lt;=参数配置!$C$22,参数配置!$C$7*参数配置!$D$22,IF(F79&lt;=参数配置!$C$21,参数配置!$C$7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32" t="n"/>
      <c r="B80" s="15" t="n"/>
      <c r="C80" s="7">
        <f>IFERROR(参数配置!$C$7*B80,"")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IFERROR(IF(F80&gt;=参数配置!$C$18,0,MAX(0,MIN(C80-H80,参数配置!$C$7*参数配置!$C$12))),"")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参数配置!$C$7*参数配置!$D$23,IF(F80&lt;=参数配置!$C$22,参数配置!$C$7*参数配置!$D$22,IF(F80&lt;=参数配置!$C$21,参数配置!$C$7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32" t="n"/>
      <c r="B81" s="15" t="n"/>
      <c r="C81" s="7">
        <f>IFERROR(参数配置!$C$7*B81,"")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IFERROR(IF(F81&gt;=参数配置!$C$18,0,MAX(0,MIN(C81-H81,参数配置!$C$7*参数配置!$C$12))),"")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参数配置!$C$7*参数配置!$D$23,IF(F81&lt;=参数配置!$C$22,参数配置!$C$7*参数配置!$D$22,IF(F81&lt;=参数配置!$C$21,参数配置!$C$7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32" t="n"/>
      <c r="B82" s="15" t="n"/>
      <c r="C82" s="7">
        <f>IFERROR(参数配置!$C$7*B82,"")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IFERROR(IF(F82&gt;=参数配置!$C$18,0,MAX(0,MIN(C82-H82,参数配置!$C$7*参数配置!$C$12))),"")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参数配置!$C$7*参数配置!$D$23,IF(F82&lt;=参数配置!$C$22,参数配置!$C$7*参数配置!$D$22,IF(F82&lt;=参数配置!$C$21,参数配置!$C$7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32" t="n"/>
      <c r="B83" s="15" t="n"/>
      <c r="C83" s="7">
        <f>IFERROR(参数配置!$C$7*B83,"")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IFERROR(IF(F83&gt;=参数配置!$C$18,0,MAX(0,MIN(C83-H83,参数配置!$C$7*参数配置!$C$12))),"")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参数配置!$C$7*参数配置!$D$23,IF(F83&lt;=参数配置!$C$22,参数配置!$C$7*参数配置!$D$22,IF(F83&lt;=参数配置!$C$21,参数配置!$C$7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32" t="n"/>
      <c r="B84" s="15" t="n"/>
      <c r="C84" s="7">
        <f>IFERROR(参数配置!$C$7*B84,"")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IFERROR(IF(F84&gt;=参数配置!$C$18,0,MAX(0,MIN(C84-H84,参数配置!$C$7*参数配置!$C$12))),"")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参数配置!$C$7*参数配置!$D$23,IF(F84&lt;=参数配置!$C$22,参数配置!$C$7*参数配置!$D$22,IF(F84&lt;=参数配置!$C$21,参数配置!$C$7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32" t="n"/>
      <c r="B85" s="15" t="n"/>
      <c r="C85" s="7">
        <f>IFERROR(参数配置!$C$7*B85,"")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IFERROR(IF(F85&gt;=参数配置!$C$18,0,MAX(0,MIN(C85-H85,参数配置!$C$7*参数配置!$C$12))),"")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参数配置!$C$7*参数配置!$D$23,IF(F85&lt;=参数配置!$C$22,参数配置!$C$7*参数配置!$D$22,IF(F85&lt;=参数配置!$C$21,参数配置!$C$7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32" t="n"/>
      <c r="B86" s="15" t="n"/>
      <c r="C86" s="7">
        <f>IFERROR(参数配置!$C$7*B86,"")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IFERROR(IF(F86&gt;=参数配置!$C$18,0,MAX(0,MIN(C86-H86,参数配置!$C$7*参数配置!$C$12))),"")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参数配置!$C$7*参数配置!$D$23,IF(F86&lt;=参数配置!$C$22,参数配置!$C$7*参数配置!$D$22,IF(F86&lt;=参数配置!$C$21,参数配置!$C$7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32" t="n"/>
      <c r="B87" s="15" t="n"/>
      <c r="C87" s="7">
        <f>IFERROR(参数配置!$C$7*B87,"")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IFERROR(IF(F87&gt;=参数配置!$C$18,0,MAX(0,MIN(C87-H87,参数配置!$C$7*参数配置!$C$12))),"")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参数配置!$C$7*参数配置!$D$23,IF(F87&lt;=参数配置!$C$22,参数配置!$C$7*参数配置!$D$22,IF(F87&lt;=参数配置!$C$21,参数配置!$C$7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32" t="n"/>
      <c r="B88" s="15" t="n"/>
      <c r="C88" s="7">
        <f>IFERROR(参数配置!$C$7*B88,"")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IFERROR(IF(F88&gt;=参数配置!$C$18,0,MAX(0,MIN(C88-H88,参数配置!$C$7*参数配置!$C$12))),"")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参数配置!$C$7*参数配置!$D$23,IF(F88&lt;=参数配置!$C$22,参数配置!$C$7*参数配置!$D$22,IF(F88&lt;=参数配置!$C$21,参数配置!$C$7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32" t="n"/>
      <c r="B89" s="15" t="n"/>
      <c r="C89" s="7">
        <f>IFERROR(参数配置!$C$7*B89,"")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IFERROR(IF(F89&gt;=参数配置!$C$18,0,MAX(0,MIN(C89-H89,参数配置!$C$7*参数配置!$C$12))),"")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参数配置!$C$7*参数配置!$D$23,IF(F89&lt;=参数配置!$C$22,参数配置!$C$7*参数配置!$D$22,IF(F89&lt;=参数配置!$C$21,参数配置!$C$7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32" t="n"/>
      <c r="B90" s="15" t="n"/>
      <c r="C90" s="7">
        <f>IFERROR(参数配置!$C$7*B90,"")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IFERROR(IF(F90&gt;=参数配置!$C$18,0,MAX(0,MIN(C90-H90,参数配置!$C$7*参数配置!$C$12))),"")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参数配置!$C$7*参数配置!$D$23,IF(F90&lt;=参数配置!$C$22,参数配置!$C$7*参数配置!$D$22,IF(F90&lt;=参数配置!$C$21,参数配置!$C$7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32" t="n"/>
      <c r="B91" s="15" t="n"/>
      <c r="C91" s="7">
        <f>IFERROR(参数配置!$C$7*B91,"")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IFERROR(IF(F91&gt;=参数配置!$C$18,0,MAX(0,MIN(C91-H91,参数配置!$C$7*参数配置!$C$12))),"")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参数配置!$C$7*参数配置!$D$23,IF(F91&lt;=参数配置!$C$22,参数配置!$C$7*参数配置!$D$22,IF(F91&lt;=参数配置!$C$21,参数配置!$C$7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32" t="n"/>
      <c r="B92" s="15" t="n"/>
      <c r="C92" s="7">
        <f>IFERROR(参数配置!$C$7*B92,"")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IFERROR(IF(F92&gt;=参数配置!$C$18,0,MAX(0,MIN(C92-H92,参数配置!$C$7*参数配置!$C$12))),"")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参数配置!$C$7*参数配置!$D$23,IF(F92&lt;=参数配置!$C$22,参数配置!$C$7*参数配置!$D$22,IF(F92&lt;=参数配置!$C$21,参数配置!$C$7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32" t="n"/>
      <c r="B93" s="15" t="n"/>
      <c r="C93" s="7">
        <f>IFERROR(参数配置!$C$7*B93,"")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IFERROR(IF(F93&gt;=参数配置!$C$18,0,MAX(0,MIN(C93-H93,参数配置!$C$7*参数配置!$C$12))),"")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参数配置!$C$7*参数配置!$D$23,IF(F93&lt;=参数配置!$C$22,参数配置!$C$7*参数配置!$D$22,IF(F93&lt;=参数配置!$C$21,参数配置!$C$7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32" t="n"/>
      <c r="B94" s="15" t="n"/>
      <c r="C94" s="7">
        <f>IFERROR(参数配置!$C$7*B94,"")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IFERROR(IF(F94&gt;=参数配置!$C$18,0,MAX(0,MIN(C94-H94,参数配置!$C$7*参数配置!$C$12))),"")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参数配置!$C$7*参数配置!$D$23,IF(F94&lt;=参数配置!$C$22,参数配置!$C$7*参数配置!$D$22,IF(F94&lt;=参数配置!$C$21,参数配置!$C$7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32" t="n"/>
      <c r="B95" s="15" t="n"/>
      <c r="C95" s="7">
        <f>IFERROR(参数配置!$C$7*B95,"")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IFERROR(IF(F95&gt;=参数配置!$C$18,0,MAX(0,MIN(C95-H95,参数配置!$C$7*参数配置!$C$12))),"")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参数配置!$C$7*参数配置!$D$23,IF(F95&lt;=参数配置!$C$22,参数配置!$C$7*参数配置!$D$22,IF(F95&lt;=参数配置!$C$21,参数配置!$C$7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32" t="n"/>
      <c r="B96" s="15" t="n"/>
      <c r="C96" s="7">
        <f>IFERROR(参数配置!$C$7*B96,"")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IFERROR(IF(F96&gt;=参数配置!$C$18,0,MAX(0,MIN(C96-H96,参数配置!$C$7*参数配置!$C$12))),"")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参数配置!$C$7*参数配置!$D$23,IF(F96&lt;=参数配置!$C$22,参数配置!$C$7*参数配置!$D$22,IF(F96&lt;=参数配置!$C$21,参数配置!$C$7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32" t="n"/>
      <c r="B97" s="15" t="n"/>
      <c r="C97" s="7">
        <f>IFERROR(参数配置!$C$7*B97,"")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IFERROR(IF(F97&gt;=参数配置!$C$18,0,MAX(0,MIN(C97-H97,参数配置!$C$7*参数配置!$C$12))),"")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参数配置!$C$7*参数配置!$D$23,IF(F97&lt;=参数配置!$C$22,参数配置!$C$7*参数配置!$D$22,IF(F97&lt;=参数配置!$C$21,参数配置!$C$7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32" t="n"/>
      <c r="B98" s="15" t="n"/>
      <c r="C98" s="7">
        <f>IFERROR(参数配置!$C$7*B98,"")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IFERROR(IF(F98&gt;=参数配置!$C$18,0,MAX(0,MIN(C98-H98,参数配置!$C$7*参数配置!$C$12))),"")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参数配置!$C$7*参数配置!$D$23,IF(F98&lt;=参数配置!$C$22,参数配置!$C$7*参数配置!$D$22,IF(F98&lt;=参数配置!$C$21,参数配置!$C$7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32" t="n"/>
      <c r="B99" s="15" t="n"/>
      <c r="C99" s="7">
        <f>IFERROR(参数配置!$C$7*B99,"")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IFERROR(IF(F99&gt;=参数配置!$C$18,0,MAX(0,MIN(C99-H99,参数配置!$C$7*参数配置!$C$12))),"")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参数配置!$C$7*参数配置!$D$23,IF(F99&lt;=参数配置!$C$22,参数配置!$C$7*参数配置!$D$22,IF(F99&lt;=参数配置!$C$21,参数配置!$C$7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32" t="n"/>
      <c r="B100" s="15" t="n"/>
      <c r="C100" s="7">
        <f>IFERROR(参数配置!$C$7*B100,"")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IFERROR(IF(F100&gt;=参数配置!$C$18,0,MAX(0,MIN(C100-H100,参数配置!$C$7*参数配置!$C$12))),"")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参数配置!$C$7*参数配置!$D$23,IF(F100&lt;=参数配置!$C$22,参数配置!$C$7*参数配置!$D$22,IF(F100&lt;=参数配置!$C$21,参数配置!$C$7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32" t="n"/>
      <c r="B101" s="15" t="n"/>
      <c r="C101" s="7">
        <f>IFERROR(参数配置!$C$7*B101,"")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IFERROR(IF(F101&gt;=参数配置!$C$18,0,MAX(0,MIN(C101-H101,参数配置!$C$7*参数配置!$C$12))),"")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参数配置!$C$7*参数配置!$D$23,IF(F101&lt;=参数配置!$C$22,参数配置!$C$7*参数配置!$D$22,IF(F101&lt;=参数配置!$C$21,参数配置!$C$7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32" t="n"/>
      <c r="B102" s="15" t="n"/>
      <c r="C102" s="7">
        <f>IFERROR(参数配置!$C$7*B102,"")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IFERROR(IF(F102&gt;=参数配置!$C$18,0,MAX(0,MIN(C102-H102,参数配置!$C$7*参数配置!$C$12))),"")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参数配置!$C$7*参数配置!$D$23,IF(F102&lt;=参数配置!$C$22,参数配置!$C$7*参数配置!$D$22,IF(F102&lt;=参数配置!$C$21,参数配置!$C$7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32" t="n"/>
      <c r="B103" s="15" t="n"/>
      <c r="C103" s="7">
        <f>IFERROR(参数配置!$C$7*B103,"")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IFERROR(IF(F103&gt;=参数配置!$C$18,0,MAX(0,MIN(C103-H103,参数配置!$C$7*参数配置!$C$12))),"")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参数配置!$C$7*参数配置!$D$23,IF(F103&lt;=参数配置!$C$22,参数配置!$C$7*参数配置!$D$22,IF(F103&lt;=参数配置!$C$21,参数配置!$C$7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32" t="n"/>
      <c r="B104" s="15" t="n"/>
      <c r="C104" s="7">
        <f>IFERROR(参数配置!$C$7*B104,"")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IFERROR(IF(F104&gt;=参数配置!$C$18,0,MAX(0,MIN(C104-H104,参数配置!$C$7*参数配置!$C$12))),"")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参数配置!$C$7*参数配置!$D$23,IF(F104&lt;=参数配置!$C$22,参数配置!$C$7*参数配置!$D$22,IF(F104&lt;=参数配置!$C$21,参数配置!$C$7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2" t="inlineStr">
        <is>
          <t>2026-04-24</t>
        </is>
      </c>
      <c r="B5" s="15" t="n">
        <v>1</v>
      </c>
      <c r="C5" s="7">
        <f>IFERROR(参数配置!$C$8*B5,"")</f>
        <v/>
      </c>
      <c r="D5" s="26" t="n">
        <v>1.904</v>
      </c>
      <c r="E5" s="26" t="n">
        <v>1.7477</v>
      </c>
      <c r="F5" s="27">
        <f>IFERROR((D5-E5)/E5,"")</f>
        <v/>
      </c>
      <c r="G5" s="26" t="n">
        <v>0</v>
      </c>
      <c r="H5" s="7">
        <f>IFERROR(G5*D5,"")</f>
        <v/>
      </c>
      <c r="I5" s="7">
        <f>IFERROR(IF(F5&gt;=参数配置!$C$18,0,MAX(0,MIN(C5-H5,参数配置!$C$8*参数配置!$C$12))),"")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参数配置!$C$8*参数配置!$D$23,IF(F5&lt;=参数配置!$C$22,参数配置!$C$8*参数配置!$D$22,IF(F5&lt;=参数配置!$C$21,参数配置!$C$8*参数配置!$D$21,I5))))))),"")</f>
        <v/>
      </c>
      <c r="L5" s="17" t="n">
        <v>2284.8</v>
      </c>
      <c r="M5" s="26" t="n">
        <v>1200</v>
      </c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32" t="n"/>
      <c r="B6" s="15" t="n"/>
      <c r="C6" s="7">
        <f>IFERROR(参数配置!$C$8*B6,"")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IFERROR(IF(F6&gt;=参数配置!$C$18,0,MAX(0,MIN(C6-H6,参数配置!$C$8*参数配置!$C$12))),"")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参数配置!$C$8*参数配置!$D$23,IF(F6&lt;=参数配置!$C$22,参数配置!$C$8*参数配置!$D$22,IF(F6&lt;=参数配置!$C$21,参数配置!$C$8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32" t="n"/>
      <c r="B7" s="15" t="n"/>
      <c r="C7" s="7">
        <f>IFERROR(参数配置!$C$8*B7,"")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IFERROR(IF(F7&gt;=参数配置!$C$18,0,MAX(0,MIN(C7-H7,参数配置!$C$8*参数配置!$C$12))),"")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参数配置!$C$8*参数配置!$D$23,IF(F7&lt;=参数配置!$C$22,参数配置!$C$8*参数配置!$D$22,IF(F7&lt;=参数配置!$C$21,参数配置!$C$8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32" t="n"/>
      <c r="B8" s="15" t="n"/>
      <c r="C8" s="7">
        <f>IFERROR(参数配置!$C$8*B8,"")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IFERROR(IF(F8&gt;=参数配置!$C$18,0,MAX(0,MIN(C8-H8,参数配置!$C$8*参数配置!$C$12))),"")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参数配置!$C$8*参数配置!$D$23,IF(F8&lt;=参数配置!$C$22,参数配置!$C$8*参数配置!$D$22,IF(F8&lt;=参数配置!$C$21,参数配置!$C$8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32" t="n"/>
      <c r="B9" s="15" t="n"/>
      <c r="C9" s="7">
        <f>IFERROR(参数配置!$C$8*B9,"")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IFERROR(IF(F9&gt;=参数配置!$C$18,0,MAX(0,MIN(C9-H9,参数配置!$C$8*参数配置!$C$12))),"")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参数配置!$C$8*参数配置!$D$23,IF(F9&lt;=参数配置!$C$22,参数配置!$C$8*参数配置!$D$22,IF(F9&lt;=参数配置!$C$21,参数配置!$C$8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32" t="n"/>
      <c r="B10" s="15" t="n"/>
      <c r="C10" s="7">
        <f>IFERROR(参数配置!$C$8*B10,"")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IFERROR(IF(F10&gt;=参数配置!$C$18,0,MAX(0,MIN(C10-H10,参数配置!$C$8*参数配置!$C$12))),"")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参数配置!$C$8*参数配置!$D$23,IF(F10&lt;=参数配置!$C$22,参数配置!$C$8*参数配置!$D$22,IF(F10&lt;=参数配置!$C$21,参数配置!$C$8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32" t="n"/>
      <c r="B11" s="15" t="n"/>
      <c r="C11" s="7">
        <f>IFERROR(参数配置!$C$8*B11,"")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IFERROR(IF(F11&gt;=参数配置!$C$18,0,MAX(0,MIN(C11-H11,参数配置!$C$8*参数配置!$C$12))),"")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参数配置!$C$8*参数配置!$D$23,IF(F11&lt;=参数配置!$C$22,参数配置!$C$8*参数配置!$D$22,IF(F11&lt;=参数配置!$C$21,参数配置!$C$8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32" t="n"/>
      <c r="B12" s="15" t="n"/>
      <c r="C12" s="7">
        <f>IFERROR(参数配置!$C$8*B12,"")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IFERROR(IF(F12&gt;=参数配置!$C$18,0,MAX(0,MIN(C12-H12,参数配置!$C$8*参数配置!$C$12))),"")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参数配置!$C$8*参数配置!$D$23,IF(F12&lt;=参数配置!$C$22,参数配置!$C$8*参数配置!$D$22,IF(F12&lt;=参数配置!$C$21,参数配置!$C$8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32" t="n"/>
      <c r="B13" s="15" t="n"/>
      <c r="C13" s="7">
        <f>IFERROR(参数配置!$C$8*B13,"")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IFERROR(IF(F13&gt;=参数配置!$C$18,0,MAX(0,MIN(C13-H13,参数配置!$C$8*参数配置!$C$12))),"")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参数配置!$C$8*参数配置!$D$23,IF(F13&lt;=参数配置!$C$22,参数配置!$C$8*参数配置!$D$22,IF(F13&lt;=参数配置!$C$21,参数配置!$C$8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32" t="n"/>
      <c r="B14" s="15" t="n"/>
      <c r="C14" s="7">
        <f>IFERROR(参数配置!$C$8*B14,"")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IFERROR(IF(F14&gt;=参数配置!$C$18,0,MAX(0,MIN(C14-H14,参数配置!$C$8*参数配置!$C$12))),"")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参数配置!$C$8*参数配置!$D$23,IF(F14&lt;=参数配置!$C$22,参数配置!$C$8*参数配置!$D$22,IF(F14&lt;=参数配置!$C$21,参数配置!$C$8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32" t="n"/>
      <c r="B15" s="15" t="n"/>
      <c r="C15" s="7">
        <f>IFERROR(参数配置!$C$8*B15,"")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IFERROR(IF(F15&gt;=参数配置!$C$18,0,MAX(0,MIN(C15-H15,参数配置!$C$8*参数配置!$C$12))),"")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参数配置!$C$8*参数配置!$D$23,IF(F15&lt;=参数配置!$C$22,参数配置!$C$8*参数配置!$D$22,IF(F15&lt;=参数配置!$C$21,参数配置!$C$8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32" t="n"/>
      <c r="B16" s="15" t="n"/>
      <c r="C16" s="7">
        <f>IFERROR(参数配置!$C$8*B16,"")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IFERROR(IF(F16&gt;=参数配置!$C$18,0,MAX(0,MIN(C16-H16,参数配置!$C$8*参数配置!$C$12))),"")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参数配置!$C$8*参数配置!$D$23,IF(F16&lt;=参数配置!$C$22,参数配置!$C$8*参数配置!$D$22,IF(F16&lt;=参数配置!$C$21,参数配置!$C$8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32" t="n"/>
      <c r="B17" s="15" t="n"/>
      <c r="C17" s="7">
        <f>IFERROR(参数配置!$C$8*B17,"")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IFERROR(IF(F17&gt;=参数配置!$C$18,0,MAX(0,MIN(C17-H17,参数配置!$C$8*参数配置!$C$12))),"")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参数配置!$C$8*参数配置!$D$23,IF(F17&lt;=参数配置!$C$22,参数配置!$C$8*参数配置!$D$22,IF(F17&lt;=参数配置!$C$21,参数配置!$C$8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32" t="n"/>
      <c r="B18" s="15" t="n"/>
      <c r="C18" s="7">
        <f>IFERROR(参数配置!$C$8*B18,"")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IFERROR(IF(F18&gt;=参数配置!$C$18,0,MAX(0,MIN(C18-H18,参数配置!$C$8*参数配置!$C$12))),"")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参数配置!$C$8*参数配置!$D$23,IF(F18&lt;=参数配置!$C$22,参数配置!$C$8*参数配置!$D$22,IF(F18&lt;=参数配置!$C$21,参数配置!$C$8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32" t="n"/>
      <c r="B19" s="15" t="n"/>
      <c r="C19" s="7">
        <f>IFERROR(参数配置!$C$8*B19,"")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IFERROR(IF(F19&gt;=参数配置!$C$18,0,MAX(0,MIN(C19-H19,参数配置!$C$8*参数配置!$C$12))),"")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参数配置!$C$8*参数配置!$D$23,IF(F19&lt;=参数配置!$C$22,参数配置!$C$8*参数配置!$D$22,IF(F19&lt;=参数配置!$C$21,参数配置!$C$8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32" t="n"/>
      <c r="B20" s="15" t="n"/>
      <c r="C20" s="7">
        <f>IFERROR(参数配置!$C$8*B20,"")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IFERROR(IF(F20&gt;=参数配置!$C$18,0,MAX(0,MIN(C20-H20,参数配置!$C$8*参数配置!$C$12))),"")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参数配置!$C$8*参数配置!$D$23,IF(F20&lt;=参数配置!$C$22,参数配置!$C$8*参数配置!$D$22,IF(F20&lt;=参数配置!$C$21,参数配置!$C$8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32" t="n"/>
      <c r="B21" s="15" t="n"/>
      <c r="C21" s="7">
        <f>IFERROR(参数配置!$C$8*B21,"")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IFERROR(IF(F21&gt;=参数配置!$C$18,0,MAX(0,MIN(C21-H21,参数配置!$C$8*参数配置!$C$12))),"")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参数配置!$C$8*参数配置!$D$23,IF(F21&lt;=参数配置!$C$22,参数配置!$C$8*参数配置!$D$22,IF(F21&lt;=参数配置!$C$21,参数配置!$C$8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32" t="n"/>
      <c r="B22" s="15" t="n"/>
      <c r="C22" s="7">
        <f>IFERROR(参数配置!$C$8*B22,"")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IFERROR(IF(F22&gt;=参数配置!$C$18,0,MAX(0,MIN(C22-H22,参数配置!$C$8*参数配置!$C$12))),"")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参数配置!$C$8*参数配置!$D$23,IF(F22&lt;=参数配置!$C$22,参数配置!$C$8*参数配置!$D$22,IF(F22&lt;=参数配置!$C$21,参数配置!$C$8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32" t="n"/>
      <c r="B23" s="15" t="n"/>
      <c r="C23" s="7">
        <f>IFERROR(参数配置!$C$8*B23,"")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IFERROR(IF(F23&gt;=参数配置!$C$18,0,MAX(0,MIN(C23-H23,参数配置!$C$8*参数配置!$C$12))),"")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参数配置!$C$8*参数配置!$D$23,IF(F23&lt;=参数配置!$C$22,参数配置!$C$8*参数配置!$D$22,IF(F23&lt;=参数配置!$C$21,参数配置!$C$8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32" t="n"/>
      <c r="B24" s="15" t="n"/>
      <c r="C24" s="7">
        <f>IFERROR(参数配置!$C$8*B24,"")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IFERROR(IF(F24&gt;=参数配置!$C$18,0,MAX(0,MIN(C24-H24,参数配置!$C$8*参数配置!$C$12))),"")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参数配置!$C$8*参数配置!$D$23,IF(F24&lt;=参数配置!$C$22,参数配置!$C$8*参数配置!$D$22,IF(F24&lt;=参数配置!$C$21,参数配置!$C$8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32" t="n"/>
      <c r="B25" s="15" t="n"/>
      <c r="C25" s="7">
        <f>IFERROR(参数配置!$C$8*B25,"")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IFERROR(IF(F25&gt;=参数配置!$C$18,0,MAX(0,MIN(C25-H25,参数配置!$C$8*参数配置!$C$12))),"")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参数配置!$C$8*参数配置!$D$23,IF(F25&lt;=参数配置!$C$22,参数配置!$C$8*参数配置!$D$22,IF(F25&lt;=参数配置!$C$21,参数配置!$C$8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32" t="n"/>
      <c r="B26" s="15" t="n"/>
      <c r="C26" s="7">
        <f>IFERROR(参数配置!$C$8*B26,"")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IFERROR(IF(F26&gt;=参数配置!$C$18,0,MAX(0,MIN(C26-H26,参数配置!$C$8*参数配置!$C$12))),"")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参数配置!$C$8*参数配置!$D$23,IF(F26&lt;=参数配置!$C$22,参数配置!$C$8*参数配置!$D$22,IF(F26&lt;=参数配置!$C$21,参数配置!$C$8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32" t="n"/>
      <c r="B27" s="15" t="n"/>
      <c r="C27" s="7">
        <f>IFERROR(参数配置!$C$8*B27,"")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IFERROR(IF(F27&gt;=参数配置!$C$18,0,MAX(0,MIN(C27-H27,参数配置!$C$8*参数配置!$C$12))),"")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参数配置!$C$8*参数配置!$D$23,IF(F27&lt;=参数配置!$C$22,参数配置!$C$8*参数配置!$D$22,IF(F27&lt;=参数配置!$C$21,参数配置!$C$8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32" t="n"/>
      <c r="B28" s="15" t="n"/>
      <c r="C28" s="7">
        <f>IFERROR(参数配置!$C$8*B28,"")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IFERROR(IF(F28&gt;=参数配置!$C$18,0,MAX(0,MIN(C28-H28,参数配置!$C$8*参数配置!$C$12))),"")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参数配置!$C$8*参数配置!$D$23,IF(F28&lt;=参数配置!$C$22,参数配置!$C$8*参数配置!$D$22,IF(F28&lt;=参数配置!$C$21,参数配置!$C$8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32" t="n"/>
      <c r="B29" s="15" t="n"/>
      <c r="C29" s="7">
        <f>IFERROR(参数配置!$C$8*B29,"")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IFERROR(IF(F29&gt;=参数配置!$C$18,0,MAX(0,MIN(C29-H29,参数配置!$C$8*参数配置!$C$12))),"")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参数配置!$C$8*参数配置!$D$23,IF(F29&lt;=参数配置!$C$22,参数配置!$C$8*参数配置!$D$22,IF(F29&lt;=参数配置!$C$21,参数配置!$C$8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32" t="n"/>
      <c r="B30" s="15" t="n"/>
      <c r="C30" s="7">
        <f>IFERROR(参数配置!$C$8*B30,"")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IFERROR(IF(F30&gt;=参数配置!$C$18,0,MAX(0,MIN(C30-H30,参数配置!$C$8*参数配置!$C$12))),"")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参数配置!$C$8*参数配置!$D$23,IF(F30&lt;=参数配置!$C$22,参数配置!$C$8*参数配置!$D$22,IF(F30&lt;=参数配置!$C$21,参数配置!$C$8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32" t="n"/>
      <c r="B31" s="15" t="n"/>
      <c r="C31" s="7">
        <f>IFERROR(参数配置!$C$8*B31,"")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IFERROR(IF(F31&gt;=参数配置!$C$18,0,MAX(0,MIN(C31-H31,参数配置!$C$8*参数配置!$C$12))),"")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参数配置!$C$8*参数配置!$D$23,IF(F31&lt;=参数配置!$C$22,参数配置!$C$8*参数配置!$D$22,IF(F31&lt;=参数配置!$C$21,参数配置!$C$8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32" t="n"/>
      <c r="B32" s="15" t="n"/>
      <c r="C32" s="7">
        <f>IFERROR(参数配置!$C$8*B32,"")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IFERROR(IF(F32&gt;=参数配置!$C$18,0,MAX(0,MIN(C32-H32,参数配置!$C$8*参数配置!$C$12))),"")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参数配置!$C$8*参数配置!$D$23,IF(F32&lt;=参数配置!$C$22,参数配置!$C$8*参数配置!$D$22,IF(F32&lt;=参数配置!$C$21,参数配置!$C$8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32" t="n"/>
      <c r="B33" s="15" t="n"/>
      <c r="C33" s="7">
        <f>IFERROR(参数配置!$C$8*B33,"")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IFERROR(IF(F33&gt;=参数配置!$C$18,0,MAX(0,MIN(C33-H33,参数配置!$C$8*参数配置!$C$12))),"")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参数配置!$C$8*参数配置!$D$23,IF(F33&lt;=参数配置!$C$22,参数配置!$C$8*参数配置!$D$22,IF(F33&lt;=参数配置!$C$21,参数配置!$C$8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32" t="n"/>
      <c r="B34" s="15" t="n"/>
      <c r="C34" s="7">
        <f>IFERROR(参数配置!$C$8*B34,"")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IFERROR(IF(F34&gt;=参数配置!$C$18,0,MAX(0,MIN(C34-H34,参数配置!$C$8*参数配置!$C$12))),"")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参数配置!$C$8*参数配置!$D$23,IF(F34&lt;=参数配置!$C$22,参数配置!$C$8*参数配置!$D$22,IF(F34&lt;=参数配置!$C$21,参数配置!$C$8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32" t="n"/>
      <c r="B35" s="15" t="n"/>
      <c r="C35" s="7">
        <f>IFERROR(参数配置!$C$8*B35,"")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IFERROR(IF(F35&gt;=参数配置!$C$18,0,MAX(0,MIN(C35-H35,参数配置!$C$8*参数配置!$C$12))),"")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参数配置!$C$8*参数配置!$D$23,IF(F35&lt;=参数配置!$C$22,参数配置!$C$8*参数配置!$D$22,IF(F35&lt;=参数配置!$C$21,参数配置!$C$8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32" t="n"/>
      <c r="B36" s="15" t="n"/>
      <c r="C36" s="7">
        <f>IFERROR(参数配置!$C$8*B36,"")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IFERROR(IF(F36&gt;=参数配置!$C$18,0,MAX(0,MIN(C36-H36,参数配置!$C$8*参数配置!$C$12))),"")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参数配置!$C$8*参数配置!$D$23,IF(F36&lt;=参数配置!$C$22,参数配置!$C$8*参数配置!$D$22,IF(F36&lt;=参数配置!$C$21,参数配置!$C$8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32" t="n"/>
      <c r="B37" s="15" t="n"/>
      <c r="C37" s="7">
        <f>IFERROR(参数配置!$C$8*B37,"")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IFERROR(IF(F37&gt;=参数配置!$C$18,0,MAX(0,MIN(C37-H37,参数配置!$C$8*参数配置!$C$12))),"")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参数配置!$C$8*参数配置!$D$23,IF(F37&lt;=参数配置!$C$22,参数配置!$C$8*参数配置!$D$22,IF(F37&lt;=参数配置!$C$21,参数配置!$C$8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32" t="n"/>
      <c r="B38" s="15" t="n"/>
      <c r="C38" s="7">
        <f>IFERROR(参数配置!$C$8*B38,"")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IFERROR(IF(F38&gt;=参数配置!$C$18,0,MAX(0,MIN(C38-H38,参数配置!$C$8*参数配置!$C$12))),"")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参数配置!$C$8*参数配置!$D$23,IF(F38&lt;=参数配置!$C$22,参数配置!$C$8*参数配置!$D$22,IF(F38&lt;=参数配置!$C$21,参数配置!$C$8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32" t="n"/>
      <c r="B39" s="15" t="n"/>
      <c r="C39" s="7">
        <f>IFERROR(参数配置!$C$8*B39,"")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IFERROR(IF(F39&gt;=参数配置!$C$18,0,MAX(0,MIN(C39-H39,参数配置!$C$8*参数配置!$C$12))),"")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参数配置!$C$8*参数配置!$D$23,IF(F39&lt;=参数配置!$C$22,参数配置!$C$8*参数配置!$D$22,IF(F39&lt;=参数配置!$C$21,参数配置!$C$8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32" t="n"/>
      <c r="B40" s="15" t="n"/>
      <c r="C40" s="7">
        <f>IFERROR(参数配置!$C$8*B40,"")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IFERROR(IF(F40&gt;=参数配置!$C$18,0,MAX(0,MIN(C40-H40,参数配置!$C$8*参数配置!$C$12))),"")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参数配置!$C$8*参数配置!$D$23,IF(F40&lt;=参数配置!$C$22,参数配置!$C$8*参数配置!$D$22,IF(F40&lt;=参数配置!$C$21,参数配置!$C$8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32" t="n"/>
      <c r="B41" s="15" t="n"/>
      <c r="C41" s="7">
        <f>IFERROR(参数配置!$C$8*B41,"")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IFERROR(IF(F41&gt;=参数配置!$C$18,0,MAX(0,MIN(C41-H41,参数配置!$C$8*参数配置!$C$12))),"")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参数配置!$C$8*参数配置!$D$23,IF(F41&lt;=参数配置!$C$22,参数配置!$C$8*参数配置!$D$22,IF(F41&lt;=参数配置!$C$21,参数配置!$C$8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32" t="n"/>
      <c r="B42" s="15" t="n"/>
      <c r="C42" s="7">
        <f>IFERROR(参数配置!$C$8*B42,"")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IFERROR(IF(F42&gt;=参数配置!$C$18,0,MAX(0,MIN(C42-H42,参数配置!$C$8*参数配置!$C$12))),"")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参数配置!$C$8*参数配置!$D$23,IF(F42&lt;=参数配置!$C$22,参数配置!$C$8*参数配置!$D$22,IF(F42&lt;=参数配置!$C$21,参数配置!$C$8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32" t="n"/>
      <c r="B43" s="15" t="n"/>
      <c r="C43" s="7">
        <f>IFERROR(参数配置!$C$8*B43,"")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IFERROR(IF(F43&gt;=参数配置!$C$18,0,MAX(0,MIN(C43-H43,参数配置!$C$8*参数配置!$C$12))),"")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参数配置!$C$8*参数配置!$D$23,IF(F43&lt;=参数配置!$C$22,参数配置!$C$8*参数配置!$D$22,IF(F43&lt;=参数配置!$C$21,参数配置!$C$8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32" t="n"/>
      <c r="B44" s="15" t="n"/>
      <c r="C44" s="7">
        <f>IFERROR(参数配置!$C$8*B44,"")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IFERROR(IF(F44&gt;=参数配置!$C$18,0,MAX(0,MIN(C44-H44,参数配置!$C$8*参数配置!$C$12))),"")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参数配置!$C$8*参数配置!$D$23,IF(F44&lt;=参数配置!$C$22,参数配置!$C$8*参数配置!$D$22,IF(F44&lt;=参数配置!$C$21,参数配置!$C$8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32" t="n"/>
      <c r="B45" s="15" t="n"/>
      <c r="C45" s="7">
        <f>IFERROR(参数配置!$C$8*B45,"")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IFERROR(IF(F45&gt;=参数配置!$C$18,0,MAX(0,MIN(C45-H45,参数配置!$C$8*参数配置!$C$12))),"")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参数配置!$C$8*参数配置!$D$23,IF(F45&lt;=参数配置!$C$22,参数配置!$C$8*参数配置!$D$22,IF(F45&lt;=参数配置!$C$21,参数配置!$C$8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32" t="n"/>
      <c r="B46" s="15" t="n"/>
      <c r="C46" s="7">
        <f>IFERROR(参数配置!$C$8*B46,"")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IFERROR(IF(F46&gt;=参数配置!$C$18,0,MAX(0,MIN(C46-H46,参数配置!$C$8*参数配置!$C$12))),"")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参数配置!$C$8*参数配置!$D$23,IF(F46&lt;=参数配置!$C$22,参数配置!$C$8*参数配置!$D$22,IF(F46&lt;=参数配置!$C$21,参数配置!$C$8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32" t="n"/>
      <c r="B47" s="15" t="n"/>
      <c r="C47" s="7">
        <f>IFERROR(参数配置!$C$8*B47,"")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IFERROR(IF(F47&gt;=参数配置!$C$18,0,MAX(0,MIN(C47-H47,参数配置!$C$8*参数配置!$C$12))),"")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参数配置!$C$8*参数配置!$D$23,IF(F47&lt;=参数配置!$C$22,参数配置!$C$8*参数配置!$D$22,IF(F47&lt;=参数配置!$C$21,参数配置!$C$8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32" t="n"/>
      <c r="B48" s="15" t="n"/>
      <c r="C48" s="7">
        <f>IFERROR(参数配置!$C$8*B48,"")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IFERROR(IF(F48&gt;=参数配置!$C$18,0,MAX(0,MIN(C48-H48,参数配置!$C$8*参数配置!$C$12))),"")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参数配置!$C$8*参数配置!$D$23,IF(F48&lt;=参数配置!$C$22,参数配置!$C$8*参数配置!$D$22,IF(F48&lt;=参数配置!$C$21,参数配置!$C$8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32" t="n"/>
      <c r="B49" s="15" t="n"/>
      <c r="C49" s="7">
        <f>IFERROR(参数配置!$C$8*B49,"")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IFERROR(IF(F49&gt;=参数配置!$C$18,0,MAX(0,MIN(C49-H49,参数配置!$C$8*参数配置!$C$12))),"")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参数配置!$C$8*参数配置!$D$23,IF(F49&lt;=参数配置!$C$22,参数配置!$C$8*参数配置!$D$22,IF(F49&lt;=参数配置!$C$21,参数配置!$C$8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32" t="n"/>
      <c r="B50" s="15" t="n"/>
      <c r="C50" s="7">
        <f>IFERROR(参数配置!$C$8*B50,"")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IFERROR(IF(F50&gt;=参数配置!$C$18,0,MAX(0,MIN(C50-H50,参数配置!$C$8*参数配置!$C$12))),"")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参数配置!$C$8*参数配置!$D$23,IF(F50&lt;=参数配置!$C$22,参数配置!$C$8*参数配置!$D$22,IF(F50&lt;=参数配置!$C$21,参数配置!$C$8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32" t="n"/>
      <c r="B51" s="15" t="n"/>
      <c r="C51" s="7">
        <f>IFERROR(参数配置!$C$8*B51,"")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IFERROR(IF(F51&gt;=参数配置!$C$18,0,MAX(0,MIN(C51-H51,参数配置!$C$8*参数配置!$C$12))),"")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参数配置!$C$8*参数配置!$D$23,IF(F51&lt;=参数配置!$C$22,参数配置!$C$8*参数配置!$D$22,IF(F51&lt;=参数配置!$C$21,参数配置!$C$8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32" t="n"/>
      <c r="B52" s="15" t="n"/>
      <c r="C52" s="7">
        <f>IFERROR(参数配置!$C$8*B52,"")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IFERROR(IF(F52&gt;=参数配置!$C$18,0,MAX(0,MIN(C52-H52,参数配置!$C$8*参数配置!$C$12))),"")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参数配置!$C$8*参数配置!$D$23,IF(F52&lt;=参数配置!$C$22,参数配置!$C$8*参数配置!$D$22,IF(F52&lt;=参数配置!$C$21,参数配置!$C$8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32" t="n"/>
      <c r="B53" s="15" t="n"/>
      <c r="C53" s="7">
        <f>IFERROR(参数配置!$C$8*B53,"")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IFERROR(IF(F53&gt;=参数配置!$C$18,0,MAX(0,MIN(C53-H53,参数配置!$C$8*参数配置!$C$12))),"")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参数配置!$C$8*参数配置!$D$23,IF(F53&lt;=参数配置!$C$22,参数配置!$C$8*参数配置!$D$22,IF(F53&lt;=参数配置!$C$21,参数配置!$C$8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32" t="n"/>
      <c r="B54" s="15" t="n"/>
      <c r="C54" s="7">
        <f>IFERROR(参数配置!$C$8*B54,"")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IFERROR(IF(F54&gt;=参数配置!$C$18,0,MAX(0,MIN(C54-H54,参数配置!$C$8*参数配置!$C$12))),"")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参数配置!$C$8*参数配置!$D$23,IF(F54&lt;=参数配置!$C$22,参数配置!$C$8*参数配置!$D$22,IF(F54&lt;=参数配置!$C$21,参数配置!$C$8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32" t="n"/>
      <c r="B55" s="15" t="n"/>
      <c r="C55" s="7">
        <f>IFERROR(参数配置!$C$8*B55,"")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IFERROR(IF(F55&gt;=参数配置!$C$18,0,MAX(0,MIN(C55-H55,参数配置!$C$8*参数配置!$C$12))),"")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参数配置!$C$8*参数配置!$D$23,IF(F55&lt;=参数配置!$C$22,参数配置!$C$8*参数配置!$D$22,IF(F55&lt;=参数配置!$C$21,参数配置!$C$8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32" t="n"/>
      <c r="B56" s="15" t="n"/>
      <c r="C56" s="7">
        <f>IFERROR(参数配置!$C$8*B56,"")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IFERROR(IF(F56&gt;=参数配置!$C$18,0,MAX(0,MIN(C56-H56,参数配置!$C$8*参数配置!$C$12))),"")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参数配置!$C$8*参数配置!$D$23,IF(F56&lt;=参数配置!$C$22,参数配置!$C$8*参数配置!$D$22,IF(F56&lt;=参数配置!$C$21,参数配置!$C$8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32" t="n"/>
      <c r="B57" s="15" t="n"/>
      <c r="C57" s="7">
        <f>IFERROR(参数配置!$C$8*B57,"")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IFERROR(IF(F57&gt;=参数配置!$C$18,0,MAX(0,MIN(C57-H57,参数配置!$C$8*参数配置!$C$12))),"")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参数配置!$C$8*参数配置!$D$23,IF(F57&lt;=参数配置!$C$22,参数配置!$C$8*参数配置!$D$22,IF(F57&lt;=参数配置!$C$21,参数配置!$C$8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32" t="n"/>
      <c r="B58" s="15" t="n"/>
      <c r="C58" s="7">
        <f>IFERROR(参数配置!$C$8*B58,"")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IFERROR(IF(F58&gt;=参数配置!$C$18,0,MAX(0,MIN(C58-H58,参数配置!$C$8*参数配置!$C$12))),"")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参数配置!$C$8*参数配置!$D$23,IF(F58&lt;=参数配置!$C$22,参数配置!$C$8*参数配置!$D$22,IF(F58&lt;=参数配置!$C$21,参数配置!$C$8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32" t="n"/>
      <c r="B59" s="15" t="n"/>
      <c r="C59" s="7">
        <f>IFERROR(参数配置!$C$8*B59,"")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IFERROR(IF(F59&gt;=参数配置!$C$18,0,MAX(0,MIN(C59-H59,参数配置!$C$8*参数配置!$C$12))),"")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参数配置!$C$8*参数配置!$D$23,IF(F59&lt;=参数配置!$C$22,参数配置!$C$8*参数配置!$D$22,IF(F59&lt;=参数配置!$C$21,参数配置!$C$8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32" t="n"/>
      <c r="B60" s="15" t="n"/>
      <c r="C60" s="7">
        <f>IFERROR(参数配置!$C$8*B60,"")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IFERROR(IF(F60&gt;=参数配置!$C$18,0,MAX(0,MIN(C60-H60,参数配置!$C$8*参数配置!$C$12))),"")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参数配置!$C$8*参数配置!$D$23,IF(F60&lt;=参数配置!$C$22,参数配置!$C$8*参数配置!$D$22,IF(F60&lt;=参数配置!$C$21,参数配置!$C$8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32" t="n"/>
      <c r="B61" s="15" t="n"/>
      <c r="C61" s="7">
        <f>IFERROR(参数配置!$C$8*B61,"")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IFERROR(IF(F61&gt;=参数配置!$C$18,0,MAX(0,MIN(C61-H61,参数配置!$C$8*参数配置!$C$12))),"")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参数配置!$C$8*参数配置!$D$23,IF(F61&lt;=参数配置!$C$22,参数配置!$C$8*参数配置!$D$22,IF(F61&lt;=参数配置!$C$21,参数配置!$C$8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32" t="n"/>
      <c r="B62" s="15" t="n"/>
      <c r="C62" s="7">
        <f>IFERROR(参数配置!$C$8*B62,"")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IFERROR(IF(F62&gt;=参数配置!$C$18,0,MAX(0,MIN(C62-H62,参数配置!$C$8*参数配置!$C$12))),"")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参数配置!$C$8*参数配置!$D$23,IF(F62&lt;=参数配置!$C$22,参数配置!$C$8*参数配置!$D$22,IF(F62&lt;=参数配置!$C$21,参数配置!$C$8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32" t="n"/>
      <c r="B63" s="15" t="n"/>
      <c r="C63" s="7">
        <f>IFERROR(参数配置!$C$8*B63,"")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IFERROR(IF(F63&gt;=参数配置!$C$18,0,MAX(0,MIN(C63-H63,参数配置!$C$8*参数配置!$C$12))),"")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参数配置!$C$8*参数配置!$D$23,IF(F63&lt;=参数配置!$C$22,参数配置!$C$8*参数配置!$D$22,IF(F63&lt;=参数配置!$C$21,参数配置!$C$8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32" t="n"/>
      <c r="B64" s="15" t="n"/>
      <c r="C64" s="7">
        <f>IFERROR(参数配置!$C$8*B64,"")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IFERROR(IF(F64&gt;=参数配置!$C$18,0,MAX(0,MIN(C64-H64,参数配置!$C$8*参数配置!$C$12))),"")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参数配置!$C$8*参数配置!$D$23,IF(F64&lt;=参数配置!$C$22,参数配置!$C$8*参数配置!$D$22,IF(F64&lt;=参数配置!$C$21,参数配置!$C$8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32" t="n"/>
      <c r="B65" s="15" t="n"/>
      <c r="C65" s="7">
        <f>IFERROR(参数配置!$C$8*B65,"")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IFERROR(IF(F65&gt;=参数配置!$C$18,0,MAX(0,MIN(C65-H65,参数配置!$C$8*参数配置!$C$12))),"")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参数配置!$C$8*参数配置!$D$23,IF(F65&lt;=参数配置!$C$22,参数配置!$C$8*参数配置!$D$22,IF(F65&lt;=参数配置!$C$21,参数配置!$C$8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32" t="n"/>
      <c r="B66" s="15" t="n"/>
      <c r="C66" s="7">
        <f>IFERROR(参数配置!$C$8*B66,"")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IFERROR(IF(F66&gt;=参数配置!$C$18,0,MAX(0,MIN(C66-H66,参数配置!$C$8*参数配置!$C$12))),"")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参数配置!$C$8*参数配置!$D$23,IF(F66&lt;=参数配置!$C$22,参数配置!$C$8*参数配置!$D$22,IF(F66&lt;=参数配置!$C$21,参数配置!$C$8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32" t="n"/>
      <c r="B67" s="15" t="n"/>
      <c r="C67" s="7">
        <f>IFERROR(参数配置!$C$8*B67,"")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IFERROR(IF(F67&gt;=参数配置!$C$18,0,MAX(0,MIN(C67-H67,参数配置!$C$8*参数配置!$C$12))),"")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参数配置!$C$8*参数配置!$D$23,IF(F67&lt;=参数配置!$C$22,参数配置!$C$8*参数配置!$D$22,IF(F67&lt;=参数配置!$C$21,参数配置!$C$8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32" t="n"/>
      <c r="B68" s="15" t="n"/>
      <c r="C68" s="7">
        <f>IFERROR(参数配置!$C$8*B68,"")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IFERROR(IF(F68&gt;=参数配置!$C$18,0,MAX(0,MIN(C68-H68,参数配置!$C$8*参数配置!$C$12))),"")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参数配置!$C$8*参数配置!$D$23,IF(F68&lt;=参数配置!$C$22,参数配置!$C$8*参数配置!$D$22,IF(F68&lt;=参数配置!$C$21,参数配置!$C$8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32" t="n"/>
      <c r="B69" s="15" t="n"/>
      <c r="C69" s="7">
        <f>IFERROR(参数配置!$C$8*B69,"")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IFERROR(IF(F69&gt;=参数配置!$C$18,0,MAX(0,MIN(C69-H69,参数配置!$C$8*参数配置!$C$12))),"")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参数配置!$C$8*参数配置!$D$23,IF(F69&lt;=参数配置!$C$22,参数配置!$C$8*参数配置!$D$22,IF(F69&lt;=参数配置!$C$21,参数配置!$C$8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32" t="n"/>
      <c r="B70" s="15" t="n"/>
      <c r="C70" s="7">
        <f>IFERROR(参数配置!$C$8*B70,"")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IFERROR(IF(F70&gt;=参数配置!$C$18,0,MAX(0,MIN(C70-H70,参数配置!$C$8*参数配置!$C$12))),"")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参数配置!$C$8*参数配置!$D$23,IF(F70&lt;=参数配置!$C$22,参数配置!$C$8*参数配置!$D$22,IF(F70&lt;=参数配置!$C$21,参数配置!$C$8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32" t="n"/>
      <c r="B71" s="15" t="n"/>
      <c r="C71" s="7">
        <f>IFERROR(参数配置!$C$8*B71,"")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IFERROR(IF(F71&gt;=参数配置!$C$18,0,MAX(0,MIN(C71-H71,参数配置!$C$8*参数配置!$C$12))),"")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参数配置!$C$8*参数配置!$D$23,IF(F71&lt;=参数配置!$C$22,参数配置!$C$8*参数配置!$D$22,IF(F71&lt;=参数配置!$C$21,参数配置!$C$8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32" t="n"/>
      <c r="B72" s="15" t="n"/>
      <c r="C72" s="7">
        <f>IFERROR(参数配置!$C$8*B72,"")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IFERROR(IF(F72&gt;=参数配置!$C$18,0,MAX(0,MIN(C72-H72,参数配置!$C$8*参数配置!$C$12))),"")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参数配置!$C$8*参数配置!$D$23,IF(F72&lt;=参数配置!$C$22,参数配置!$C$8*参数配置!$D$22,IF(F72&lt;=参数配置!$C$21,参数配置!$C$8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32" t="n"/>
      <c r="B73" s="15" t="n"/>
      <c r="C73" s="7">
        <f>IFERROR(参数配置!$C$8*B73,"")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IFERROR(IF(F73&gt;=参数配置!$C$18,0,MAX(0,MIN(C73-H73,参数配置!$C$8*参数配置!$C$12))),"")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参数配置!$C$8*参数配置!$D$23,IF(F73&lt;=参数配置!$C$22,参数配置!$C$8*参数配置!$D$22,IF(F73&lt;=参数配置!$C$21,参数配置!$C$8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32" t="n"/>
      <c r="B74" s="15" t="n"/>
      <c r="C74" s="7">
        <f>IFERROR(参数配置!$C$8*B74,"")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IFERROR(IF(F74&gt;=参数配置!$C$18,0,MAX(0,MIN(C74-H74,参数配置!$C$8*参数配置!$C$12))),"")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参数配置!$C$8*参数配置!$D$23,IF(F74&lt;=参数配置!$C$22,参数配置!$C$8*参数配置!$D$22,IF(F74&lt;=参数配置!$C$21,参数配置!$C$8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32" t="n"/>
      <c r="B75" s="15" t="n"/>
      <c r="C75" s="7">
        <f>IFERROR(参数配置!$C$8*B75,"")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IFERROR(IF(F75&gt;=参数配置!$C$18,0,MAX(0,MIN(C75-H75,参数配置!$C$8*参数配置!$C$12))),"")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参数配置!$C$8*参数配置!$D$23,IF(F75&lt;=参数配置!$C$22,参数配置!$C$8*参数配置!$D$22,IF(F75&lt;=参数配置!$C$21,参数配置!$C$8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32" t="n"/>
      <c r="B76" s="15" t="n"/>
      <c r="C76" s="7">
        <f>IFERROR(参数配置!$C$8*B76,"")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IFERROR(IF(F76&gt;=参数配置!$C$18,0,MAX(0,MIN(C76-H76,参数配置!$C$8*参数配置!$C$12))),"")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参数配置!$C$8*参数配置!$D$23,IF(F76&lt;=参数配置!$C$22,参数配置!$C$8*参数配置!$D$22,IF(F76&lt;=参数配置!$C$21,参数配置!$C$8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32" t="n"/>
      <c r="B77" s="15" t="n"/>
      <c r="C77" s="7">
        <f>IFERROR(参数配置!$C$8*B77,"")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IFERROR(IF(F77&gt;=参数配置!$C$18,0,MAX(0,MIN(C77-H77,参数配置!$C$8*参数配置!$C$12))),"")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参数配置!$C$8*参数配置!$D$23,IF(F77&lt;=参数配置!$C$22,参数配置!$C$8*参数配置!$D$22,IF(F77&lt;=参数配置!$C$21,参数配置!$C$8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32" t="n"/>
      <c r="B78" s="15" t="n"/>
      <c r="C78" s="7">
        <f>IFERROR(参数配置!$C$8*B78,"")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IFERROR(IF(F78&gt;=参数配置!$C$18,0,MAX(0,MIN(C78-H78,参数配置!$C$8*参数配置!$C$12))),"")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参数配置!$C$8*参数配置!$D$23,IF(F78&lt;=参数配置!$C$22,参数配置!$C$8*参数配置!$D$22,IF(F78&lt;=参数配置!$C$21,参数配置!$C$8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32" t="n"/>
      <c r="B79" s="15" t="n"/>
      <c r="C79" s="7">
        <f>IFERROR(参数配置!$C$8*B79,"")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IFERROR(IF(F79&gt;=参数配置!$C$18,0,MAX(0,MIN(C79-H79,参数配置!$C$8*参数配置!$C$12))),"")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参数配置!$C$8*参数配置!$D$23,IF(F79&lt;=参数配置!$C$22,参数配置!$C$8*参数配置!$D$22,IF(F79&lt;=参数配置!$C$21,参数配置!$C$8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32" t="n"/>
      <c r="B80" s="15" t="n"/>
      <c r="C80" s="7">
        <f>IFERROR(参数配置!$C$8*B80,"")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IFERROR(IF(F80&gt;=参数配置!$C$18,0,MAX(0,MIN(C80-H80,参数配置!$C$8*参数配置!$C$12))),"")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参数配置!$C$8*参数配置!$D$23,IF(F80&lt;=参数配置!$C$22,参数配置!$C$8*参数配置!$D$22,IF(F80&lt;=参数配置!$C$21,参数配置!$C$8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32" t="n"/>
      <c r="B81" s="15" t="n"/>
      <c r="C81" s="7">
        <f>IFERROR(参数配置!$C$8*B81,"")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IFERROR(IF(F81&gt;=参数配置!$C$18,0,MAX(0,MIN(C81-H81,参数配置!$C$8*参数配置!$C$12))),"")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参数配置!$C$8*参数配置!$D$23,IF(F81&lt;=参数配置!$C$22,参数配置!$C$8*参数配置!$D$22,IF(F81&lt;=参数配置!$C$21,参数配置!$C$8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32" t="n"/>
      <c r="B82" s="15" t="n"/>
      <c r="C82" s="7">
        <f>IFERROR(参数配置!$C$8*B82,"")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IFERROR(IF(F82&gt;=参数配置!$C$18,0,MAX(0,MIN(C82-H82,参数配置!$C$8*参数配置!$C$12))),"")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参数配置!$C$8*参数配置!$D$23,IF(F82&lt;=参数配置!$C$22,参数配置!$C$8*参数配置!$D$22,IF(F82&lt;=参数配置!$C$21,参数配置!$C$8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32" t="n"/>
      <c r="B83" s="15" t="n"/>
      <c r="C83" s="7">
        <f>IFERROR(参数配置!$C$8*B83,"")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IFERROR(IF(F83&gt;=参数配置!$C$18,0,MAX(0,MIN(C83-H83,参数配置!$C$8*参数配置!$C$12))),"")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参数配置!$C$8*参数配置!$D$23,IF(F83&lt;=参数配置!$C$22,参数配置!$C$8*参数配置!$D$22,IF(F83&lt;=参数配置!$C$21,参数配置!$C$8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32" t="n"/>
      <c r="B84" s="15" t="n"/>
      <c r="C84" s="7">
        <f>IFERROR(参数配置!$C$8*B84,"")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IFERROR(IF(F84&gt;=参数配置!$C$18,0,MAX(0,MIN(C84-H84,参数配置!$C$8*参数配置!$C$12))),"")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参数配置!$C$8*参数配置!$D$23,IF(F84&lt;=参数配置!$C$22,参数配置!$C$8*参数配置!$D$22,IF(F84&lt;=参数配置!$C$21,参数配置!$C$8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32" t="n"/>
      <c r="B85" s="15" t="n"/>
      <c r="C85" s="7">
        <f>IFERROR(参数配置!$C$8*B85,"")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IFERROR(IF(F85&gt;=参数配置!$C$18,0,MAX(0,MIN(C85-H85,参数配置!$C$8*参数配置!$C$12))),"")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参数配置!$C$8*参数配置!$D$23,IF(F85&lt;=参数配置!$C$22,参数配置!$C$8*参数配置!$D$22,IF(F85&lt;=参数配置!$C$21,参数配置!$C$8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32" t="n"/>
      <c r="B86" s="15" t="n"/>
      <c r="C86" s="7">
        <f>IFERROR(参数配置!$C$8*B86,"")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IFERROR(IF(F86&gt;=参数配置!$C$18,0,MAX(0,MIN(C86-H86,参数配置!$C$8*参数配置!$C$12))),"")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参数配置!$C$8*参数配置!$D$23,IF(F86&lt;=参数配置!$C$22,参数配置!$C$8*参数配置!$D$22,IF(F86&lt;=参数配置!$C$21,参数配置!$C$8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32" t="n"/>
      <c r="B87" s="15" t="n"/>
      <c r="C87" s="7">
        <f>IFERROR(参数配置!$C$8*B87,"")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IFERROR(IF(F87&gt;=参数配置!$C$18,0,MAX(0,MIN(C87-H87,参数配置!$C$8*参数配置!$C$12))),"")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参数配置!$C$8*参数配置!$D$23,IF(F87&lt;=参数配置!$C$22,参数配置!$C$8*参数配置!$D$22,IF(F87&lt;=参数配置!$C$21,参数配置!$C$8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32" t="n"/>
      <c r="B88" s="15" t="n"/>
      <c r="C88" s="7">
        <f>IFERROR(参数配置!$C$8*B88,"")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IFERROR(IF(F88&gt;=参数配置!$C$18,0,MAX(0,MIN(C88-H88,参数配置!$C$8*参数配置!$C$12))),"")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参数配置!$C$8*参数配置!$D$23,IF(F88&lt;=参数配置!$C$22,参数配置!$C$8*参数配置!$D$22,IF(F88&lt;=参数配置!$C$21,参数配置!$C$8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32" t="n"/>
      <c r="B89" s="15" t="n"/>
      <c r="C89" s="7">
        <f>IFERROR(参数配置!$C$8*B89,"")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IFERROR(IF(F89&gt;=参数配置!$C$18,0,MAX(0,MIN(C89-H89,参数配置!$C$8*参数配置!$C$12))),"")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参数配置!$C$8*参数配置!$D$23,IF(F89&lt;=参数配置!$C$22,参数配置!$C$8*参数配置!$D$22,IF(F89&lt;=参数配置!$C$21,参数配置!$C$8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32" t="n"/>
      <c r="B90" s="15" t="n"/>
      <c r="C90" s="7">
        <f>IFERROR(参数配置!$C$8*B90,"")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IFERROR(IF(F90&gt;=参数配置!$C$18,0,MAX(0,MIN(C90-H90,参数配置!$C$8*参数配置!$C$12))),"")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参数配置!$C$8*参数配置!$D$23,IF(F90&lt;=参数配置!$C$22,参数配置!$C$8*参数配置!$D$22,IF(F90&lt;=参数配置!$C$21,参数配置!$C$8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32" t="n"/>
      <c r="B91" s="15" t="n"/>
      <c r="C91" s="7">
        <f>IFERROR(参数配置!$C$8*B91,"")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IFERROR(IF(F91&gt;=参数配置!$C$18,0,MAX(0,MIN(C91-H91,参数配置!$C$8*参数配置!$C$12))),"")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参数配置!$C$8*参数配置!$D$23,IF(F91&lt;=参数配置!$C$22,参数配置!$C$8*参数配置!$D$22,IF(F91&lt;=参数配置!$C$21,参数配置!$C$8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32" t="n"/>
      <c r="B92" s="15" t="n"/>
      <c r="C92" s="7">
        <f>IFERROR(参数配置!$C$8*B92,"")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IFERROR(IF(F92&gt;=参数配置!$C$18,0,MAX(0,MIN(C92-H92,参数配置!$C$8*参数配置!$C$12))),"")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参数配置!$C$8*参数配置!$D$23,IF(F92&lt;=参数配置!$C$22,参数配置!$C$8*参数配置!$D$22,IF(F92&lt;=参数配置!$C$21,参数配置!$C$8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32" t="n"/>
      <c r="B93" s="15" t="n"/>
      <c r="C93" s="7">
        <f>IFERROR(参数配置!$C$8*B93,"")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IFERROR(IF(F93&gt;=参数配置!$C$18,0,MAX(0,MIN(C93-H93,参数配置!$C$8*参数配置!$C$12))),"")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参数配置!$C$8*参数配置!$D$23,IF(F93&lt;=参数配置!$C$22,参数配置!$C$8*参数配置!$D$22,IF(F93&lt;=参数配置!$C$21,参数配置!$C$8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32" t="n"/>
      <c r="B94" s="15" t="n"/>
      <c r="C94" s="7">
        <f>IFERROR(参数配置!$C$8*B94,"")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IFERROR(IF(F94&gt;=参数配置!$C$18,0,MAX(0,MIN(C94-H94,参数配置!$C$8*参数配置!$C$12))),"")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参数配置!$C$8*参数配置!$D$23,IF(F94&lt;=参数配置!$C$22,参数配置!$C$8*参数配置!$D$22,IF(F94&lt;=参数配置!$C$21,参数配置!$C$8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32" t="n"/>
      <c r="B95" s="15" t="n"/>
      <c r="C95" s="7">
        <f>IFERROR(参数配置!$C$8*B95,"")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IFERROR(IF(F95&gt;=参数配置!$C$18,0,MAX(0,MIN(C95-H95,参数配置!$C$8*参数配置!$C$12))),"")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参数配置!$C$8*参数配置!$D$23,IF(F95&lt;=参数配置!$C$22,参数配置!$C$8*参数配置!$D$22,IF(F95&lt;=参数配置!$C$21,参数配置!$C$8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32" t="n"/>
      <c r="B96" s="15" t="n"/>
      <c r="C96" s="7">
        <f>IFERROR(参数配置!$C$8*B96,"")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IFERROR(IF(F96&gt;=参数配置!$C$18,0,MAX(0,MIN(C96-H96,参数配置!$C$8*参数配置!$C$12))),"")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参数配置!$C$8*参数配置!$D$23,IF(F96&lt;=参数配置!$C$22,参数配置!$C$8*参数配置!$D$22,IF(F96&lt;=参数配置!$C$21,参数配置!$C$8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32" t="n"/>
      <c r="B97" s="15" t="n"/>
      <c r="C97" s="7">
        <f>IFERROR(参数配置!$C$8*B97,"")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IFERROR(IF(F97&gt;=参数配置!$C$18,0,MAX(0,MIN(C97-H97,参数配置!$C$8*参数配置!$C$12))),"")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参数配置!$C$8*参数配置!$D$23,IF(F97&lt;=参数配置!$C$22,参数配置!$C$8*参数配置!$D$22,IF(F97&lt;=参数配置!$C$21,参数配置!$C$8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32" t="n"/>
      <c r="B98" s="15" t="n"/>
      <c r="C98" s="7">
        <f>IFERROR(参数配置!$C$8*B98,"")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IFERROR(IF(F98&gt;=参数配置!$C$18,0,MAX(0,MIN(C98-H98,参数配置!$C$8*参数配置!$C$12))),"")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参数配置!$C$8*参数配置!$D$23,IF(F98&lt;=参数配置!$C$22,参数配置!$C$8*参数配置!$D$22,IF(F98&lt;=参数配置!$C$21,参数配置!$C$8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32" t="n"/>
      <c r="B99" s="15" t="n"/>
      <c r="C99" s="7">
        <f>IFERROR(参数配置!$C$8*B99,"")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IFERROR(IF(F99&gt;=参数配置!$C$18,0,MAX(0,MIN(C99-H99,参数配置!$C$8*参数配置!$C$12))),"")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参数配置!$C$8*参数配置!$D$23,IF(F99&lt;=参数配置!$C$22,参数配置!$C$8*参数配置!$D$22,IF(F99&lt;=参数配置!$C$21,参数配置!$C$8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32" t="n"/>
      <c r="B100" s="15" t="n"/>
      <c r="C100" s="7">
        <f>IFERROR(参数配置!$C$8*B100,"")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IFERROR(IF(F100&gt;=参数配置!$C$18,0,MAX(0,MIN(C100-H100,参数配置!$C$8*参数配置!$C$12))),"")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参数配置!$C$8*参数配置!$D$23,IF(F100&lt;=参数配置!$C$22,参数配置!$C$8*参数配置!$D$22,IF(F100&lt;=参数配置!$C$21,参数配置!$C$8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32" t="n"/>
      <c r="B101" s="15" t="n"/>
      <c r="C101" s="7">
        <f>IFERROR(参数配置!$C$8*B101,"")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IFERROR(IF(F101&gt;=参数配置!$C$18,0,MAX(0,MIN(C101-H101,参数配置!$C$8*参数配置!$C$12))),"")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参数配置!$C$8*参数配置!$D$23,IF(F101&lt;=参数配置!$C$22,参数配置!$C$8*参数配置!$D$22,IF(F101&lt;=参数配置!$C$21,参数配置!$C$8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32" t="n"/>
      <c r="B102" s="15" t="n"/>
      <c r="C102" s="7">
        <f>IFERROR(参数配置!$C$8*B102,"")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IFERROR(IF(F102&gt;=参数配置!$C$18,0,MAX(0,MIN(C102-H102,参数配置!$C$8*参数配置!$C$12))),"")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参数配置!$C$8*参数配置!$D$23,IF(F102&lt;=参数配置!$C$22,参数配置!$C$8*参数配置!$D$22,IF(F102&lt;=参数配置!$C$21,参数配置!$C$8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32" t="n"/>
      <c r="B103" s="15" t="n"/>
      <c r="C103" s="7">
        <f>IFERROR(参数配置!$C$8*B103,"")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IFERROR(IF(F103&gt;=参数配置!$C$18,0,MAX(0,MIN(C103-H103,参数配置!$C$8*参数配置!$C$12))),"")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参数配置!$C$8*参数配置!$D$23,IF(F103&lt;=参数配置!$C$22,参数配置!$C$8*参数配置!$D$22,IF(F103&lt;=参数配置!$C$21,参数配置!$C$8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32" t="n"/>
      <c r="B104" s="15" t="n"/>
      <c r="C104" s="7">
        <f>IFERROR(参数配置!$C$8*B104,"")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IFERROR(IF(F104&gt;=参数配置!$C$18,0,MAX(0,MIN(C104-H104,参数配置!$C$8*参数配置!$C$12))),"")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参数配置!$C$8*参数配置!$D$23,IF(F104&lt;=参数配置!$C$22,参数配置!$C$8*参数配置!$D$22,IF(F104&lt;=参数配置!$C$21,参数配置!$C$8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2026-04-24T02:50:38Z</dcterms:created>
  <dcterms:modified xmlns:dcterms="http://purl.org/dc/terms/" xmlns:xsi="http://www.w3.org/2001/XMLSchema-instance" xsi:type="dcterms:W3CDTF">2026-04-24T03:14:32Z</dcterms:modified>
</cp:coreProperties>
</file>